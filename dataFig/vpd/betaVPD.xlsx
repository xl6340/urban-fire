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lei/Desktop/CalFire/dataFig/vpd/"/>
    </mc:Choice>
  </mc:AlternateContent>
  <xr:revisionPtr revIDLastSave="0" documentId="13_ncr:1_{18E02C42-DE8B-A048-B910-7A2514F7E1BC}" xr6:coauthVersionLast="47" xr6:coauthVersionMax="47" xr10:uidLastSave="{00000000-0000-0000-0000-000000000000}"/>
  <bookViews>
    <workbookView xWindow="25020" yWindow="3760" windowWidth="24480" windowHeight="21100" xr2:uid="{DF1F2BE8-4E43-B741-9B05-29A43ECDBB33}"/>
  </bookViews>
  <sheets>
    <sheet name="arith" sheetId="1" r:id="rId1"/>
    <sheet name="vpd" sheetId="4" r:id="rId2"/>
    <sheet name="ssp370" sheetId="2" r:id="rId3"/>
    <sheet name="ssp585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3" l="1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9" i="3"/>
  <c r="J23" i="3" a="1"/>
  <c r="J23" i="3" s="1"/>
  <c r="L23" i="3" s="1"/>
  <c r="J22" i="3" a="1"/>
  <c r="J22" i="3" s="1"/>
  <c r="L22" i="3" s="1"/>
  <c r="J21" i="3" a="1"/>
  <c r="J21" i="3" s="1"/>
  <c r="L21" i="3" s="1"/>
  <c r="J20" i="3" a="1"/>
  <c r="J20" i="3" s="1"/>
  <c r="L20" i="3" s="1"/>
  <c r="J19" i="3" a="1"/>
  <c r="J19" i="3" s="1"/>
  <c r="J18" i="3" a="1"/>
  <c r="J18" i="3" s="1"/>
  <c r="J17" i="3" a="1"/>
  <c r="J17" i="3" s="1"/>
  <c r="J16" i="3" a="1"/>
  <c r="J16" i="3" s="1"/>
  <c r="J15" i="3" a="1"/>
  <c r="J15" i="3" s="1"/>
  <c r="J14" i="3" a="1"/>
  <c r="J14" i="3" s="1"/>
  <c r="L14" i="3" s="1"/>
  <c r="J13" i="3" a="1"/>
  <c r="J13" i="3" s="1"/>
  <c r="L13" i="3" s="1"/>
  <c r="J12" i="3" a="1"/>
  <c r="J12" i="3" s="1"/>
  <c r="L12" i="3" s="1"/>
  <c r="J11" i="3" a="1"/>
  <c r="J11" i="3" s="1"/>
  <c r="L11" i="3" s="1"/>
  <c r="J10" i="3" a="1"/>
  <c r="J10" i="3" s="1"/>
  <c r="L10" i="3" s="1"/>
  <c r="J9" i="3" a="1"/>
  <c r="J9" i="3" s="1"/>
  <c r="L9" i="3" s="1"/>
  <c r="J8" i="3" a="1"/>
  <c r="J8" i="3" s="1"/>
  <c r="J7" i="3" a="1"/>
  <c r="J7" i="3" s="1"/>
  <c r="J6" i="3" a="1"/>
  <c r="J6" i="3" s="1"/>
  <c r="J5" i="3" a="1"/>
  <c r="J5" i="3" s="1"/>
  <c r="J4" i="3" a="1"/>
  <c r="J4" i="3" s="1"/>
  <c r="J3" i="3" a="1"/>
  <c r="J3" i="3" s="1"/>
  <c r="J2" i="3" a="1"/>
  <c r="J2" i="3" s="1"/>
  <c r="J3" i="2" a="1"/>
  <c r="J3" i="2" s="1"/>
  <c r="J4" i="2" a="1"/>
  <c r="J4" i="2" s="1"/>
  <c r="J5" i="2" a="1"/>
  <c r="J5" i="2" s="1"/>
  <c r="J6" i="2" a="1"/>
  <c r="J6" i="2" s="1"/>
  <c r="J7" i="2" a="1"/>
  <c r="J7" i="2" s="1"/>
  <c r="J8" i="2" a="1"/>
  <c r="J8" i="2" s="1"/>
  <c r="J9" i="2" a="1"/>
  <c r="J9" i="2" s="1"/>
  <c r="M9" i="2" s="1"/>
  <c r="J10" i="2" a="1"/>
  <c r="J10" i="2" s="1"/>
  <c r="J11" i="2" a="1"/>
  <c r="J11" i="2" s="1"/>
  <c r="J12" i="2" a="1"/>
  <c r="J12" i="2" s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J18" i="2" a="1"/>
  <c r="J18" i="2" s="1"/>
  <c r="M18" i="2" s="1"/>
  <c r="J19" i="2" a="1"/>
  <c r="J19" i="2" s="1"/>
  <c r="M19" i="2" s="1"/>
  <c r="J20" i="2" a="1"/>
  <c r="J20" i="2" s="1"/>
  <c r="J21" i="2" a="1"/>
  <c r="J21" i="2" s="1"/>
  <c r="J22" i="2" a="1"/>
  <c r="J22" i="2" s="1"/>
  <c r="J23" i="2" a="1"/>
  <c r="J23" i="2" s="1"/>
  <c r="J2" i="2" a="1"/>
  <c r="J2" i="2" s="1"/>
  <c r="L19" i="3" l="1"/>
  <c r="L15" i="3"/>
  <c r="L16" i="3"/>
  <c r="L17" i="3"/>
  <c r="L18" i="3"/>
  <c r="M17" i="2"/>
  <c r="L17" i="2" s="1"/>
  <c r="M16" i="2"/>
  <c r="L16" i="2" s="1"/>
  <c r="L13" i="2"/>
  <c r="M15" i="2"/>
  <c r="L15" i="2" s="1"/>
  <c r="L22" i="2"/>
  <c r="M14" i="2"/>
  <c r="L14" i="2" s="1"/>
  <c r="L21" i="2"/>
  <c r="M23" i="2"/>
  <c r="L23" i="2" s="1"/>
  <c r="M13" i="2"/>
  <c r="M22" i="2"/>
  <c r="M12" i="2"/>
  <c r="L12" i="2" s="1"/>
  <c r="L9" i="2"/>
  <c r="M21" i="2"/>
  <c r="M11" i="2"/>
  <c r="L11" i="2" s="1"/>
  <c r="M20" i="2"/>
  <c r="L20" i="2" s="1"/>
  <c r="M10" i="2"/>
  <c r="L10" i="2" s="1"/>
  <c r="L19" i="2"/>
  <c r="L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<sst xmlns="http://schemas.openxmlformats.org/spreadsheetml/2006/main" count="795" uniqueCount="61">
  <si>
    <t>StartYear</t>
  </si>
  <si>
    <t>EndYear</t>
  </si>
  <si>
    <t>beta_CA</t>
  </si>
  <si>
    <t>Model</t>
  </si>
  <si>
    <t>VPD_CA</t>
  </si>
  <si>
    <t>VPD_NorCal</t>
  </si>
  <si>
    <t>VPD_SoCal</t>
  </si>
  <si>
    <t>ACCESS-CM2</t>
  </si>
  <si>
    <t>ACCESS-ESM1-5</t>
  </si>
  <si>
    <t>CESM2</t>
  </si>
  <si>
    <t>CMCC-CM2-SR5</t>
  </si>
  <si>
    <t>CMCC-ESM2</t>
  </si>
  <si>
    <t>EC-Earth3</t>
  </si>
  <si>
    <t>GFDL-ESM4</t>
  </si>
  <si>
    <t>INM-CM4-8</t>
  </si>
  <si>
    <t>INM-CM5-0</t>
  </si>
  <si>
    <t>IPSL-CM6A-LR</t>
  </si>
  <si>
    <t>MIROC6</t>
  </si>
  <si>
    <t>MPI-ESM1-2-HR</t>
  </si>
  <si>
    <t>MPI-ESM1-2-LR</t>
  </si>
  <si>
    <t>MRI-ESM2-0</t>
  </si>
  <si>
    <t>UKESM1-0-LL</t>
  </si>
  <si>
    <t>Ensemble_Mean</t>
  </si>
  <si>
    <t>beta_err</t>
  </si>
  <si>
    <t>vpdmax</t>
  </si>
  <si>
    <t>VPD</t>
  </si>
  <si>
    <t>HadGEM3-GC31-LL</t>
  </si>
  <si>
    <t>vpd_ssp370</t>
  </si>
  <si>
    <t>Period</t>
  </si>
  <si>
    <t>1990s</t>
  </si>
  <si>
    <t>1995s</t>
  </si>
  <si>
    <t>2000s</t>
  </si>
  <si>
    <t>2005s</t>
  </si>
  <si>
    <t>2010s</t>
  </si>
  <si>
    <t>2015s</t>
  </si>
  <si>
    <t>2020s</t>
  </si>
  <si>
    <t>2025s</t>
  </si>
  <si>
    <t>2030s</t>
  </si>
  <si>
    <t>2035s</t>
  </si>
  <si>
    <t>2040s</t>
  </si>
  <si>
    <t>2045s</t>
  </si>
  <si>
    <t>2050s</t>
  </si>
  <si>
    <t>2055s</t>
  </si>
  <si>
    <t>2060s</t>
  </si>
  <si>
    <t>2065s</t>
  </si>
  <si>
    <t>2070s</t>
  </si>
  <si>
    <t>2075s</t>
  </si>
  <si>
    <t>2080s</t>
  </si>
  <si>
    <t>2085s</t>
  </si>
  <si>
    <t>2090s</t>
  </si>
  <si>
    <t>2095s</t>
  </si>
  <si>
    <t>beta_ssp370</t>
  </si>
  <si>
    <t>beta_ssp585</t>
  </si>
  <si>
    <t>vpd_ssp585</t>
  </si>
  <si>
    <t>vpd_fire_kPa</t>
  </si>
  <si>
    <t>vpd_region_kPa</t>
  </si>
  <si>
    <t>vpd_wui_kPa</t>
  </si>
  <si>
    <t>vpd_wild_kPa</t>
  </si>
  <si>
    <t>beta_urban</t>
  </si>
  <si>
    <t>beta_wild</t>
  </si>
  <si>
    <t>vpd_CA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</si>
</sst>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vpdmax</a:t>
            </a:r>
            <a:r>
              <a:rPr lang="zh-CN" altLang="en-US" baseline="0"/>
              <a:t> </a:t>
            </a:r>
            <a:r>
              <a:rPr lang="en-US" altLang="zh-CN" baseline="0"/>
              <a:t>vs.</a:t>
            </a:r>
            <a:r>
              <a:rPr lang="zh-CN" altLang="en-US" baseline="0"/>
              <a:t> </a:t>
            </a:r>
            <a:r>
              <a:rPr lang="en-US" altLang="zh-CN" baseline="0"/>
              <a:t>beta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491511235514166"/>
                  <c:y val="-6.71527688137343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'ssp370'!$L$2:$L$8</c:f>
              <c:numCache>
                <c:formatCode>General</c:formatCode>
                <c:ptCount val="7"/>
                <c:pt idx="0">
                  <c:v>-1.56968144528128</c:v>
                </c:pt>
                <c:pt idx="1">
                  <c:v>-1.5959363822183601</c:v>
                </c:pt>
                <c:pt idx="2">
                  <c:v>-1.5163324244368599</c:v>
                </c:pt>
                <c:pt idx="3">
                  <c:v>-1.45556081533874</c:v>
                </c:pt>
                <c:pt idx="4">
                  <c:v>-1.42481076352192</c:v>
                </c:pt>
                <c:pt idx="5">
                  <c:v>-1.39523773510027</c:v>
                </c:pt>
                <c:pt idx="6">
                  <c:v>-1.36770473292009</c:v>
                </c:pt>
              </c:numCache>
            </c:numRef>
          </c:xVal>
          <c:yVal>
            <c:numRef>
              <c:f>'ssp370'!$M$2:$M$8</c:f>
              <c:numCache>
                <c:formatCode>General</c:formatCode>
                <c:ptCount val="7"/>
                <c:pt idx="0">
                  <c:v>20.902560000000001</c:v>
                </c:pt>
                <c:pt idx="1">
                  <c:v>20.371770000000001</c:v>
                </c:pt>
                <c:pt idx="2">
                  <c:v>21.835381999999999</c:v>
                </c:pt>
                <c:pt idx="3">
                  <c:v>22.336024999999999</c:v>
                </c:pt>
                <c:pt idx="4">
                  <c:v>22.167297000000001</c:v>
                </c:pt>
                <c:pt idx="5">
                  <c:v>22.462852000000002</c:v>
                </c:pt>
                <c:pt idx="6">
                  <c:v>22.646687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A8-FE41-A6B8-99DF42C3B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965424"/>
        <c:axId val="849394863"/>
      </c:scatterChart>
      <c:valAx>
        <c:axId val="1376965424"/>
        <c:scaling>
          <c:orientation val="minMax"/>
          <c:max val="-1.3"/>
          <c:min val="-1.7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94863"/>
        <c:crosses val="autoZero"/>
        <c:crossBetween val="midCat"/>
      </c:valAx>
      <c:valAx>
        <c:axId val="849394863"/>
        <c:scaling>
          <c:orientation val="minMax"/>
          <c:max val="25"/>
          <c:min val="19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965424"/>
        <c:crossesAt val="7.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623772965879265"/>
                  <c:y val="-1.96638961796442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'ssp370'!$J$2:$J$8</c:f>
              <c:numCache>
                <c:formatCode>General</c:formatCode>
                <c:ptCount val="7"/>
                <c:pt idx="0">
                  <c:v>8.2455854654312049</c:v>
                </c:pt>
                <c:pt idx="1">
                  <c:v>8.4138440767923939</c:v>
                </c:pt>
                <c:pt idx="2">
                  <c:v>8.5712309241294857</c:v>
                </c:pt>
                <c:pt idx="3">
                  <c:v>8.7531785607337937</c:v>
                </c:pt>
                <c:pt idx="4">
                  <c:v>8.8333790421485858</c:v>
                </c:pt>
                <c:pt idx="5">
                  <c:v>9.080934576193485</c:v>
                </c:pt>
                <c:pt idx="6">
                  <c:v>9.199306325117746</c:v>
                </c:pt>
              </c:numCache>
            </c:numRef>
          </c:xVal>
          <c:yVal>
            <c:numRef>
              <c:f>'ssp370'!$M$2:$M$8</c:f>
              <c:numCache>
                <c:formatCode>General</c:formatCode>
                <c:ptCount val="7"/>
                <c:pt idx="0">
                  <c:v>20.902560000000001</c:v>
                </c:pt>
                <c:pt idx="1">
                  <c:v>20.371770000000001</c:v>
                </c:pt>
                <c:pt idx="2">
                  <c:v>21.835381999999999</c:v>
                </c:pt>
                <c:pt idx="3">
                  <c:v>22.336024999999999</c:v>
                </c:pt>
                <c:pt idx="4">
                  <c:v>22.167297000000001</c:v>
                </c:pt>
                <c:pt idx="5">
                  <c:v>22.462852000000002</c:v>
                </c:pt>
                <c:pt idx="6">
                  <c:v>22.646687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94-4244-BF29-B2CEEB2F8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653344"/>
        <c:axId val="1471437584"/>
      </c:scatterChart>
      <c:valAx>
        <c:axId val="147165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437584"/>
        <c:crosses val="autoZero"/>
        <c:crossBetween val="midCat"/>
      </c:valAx>
      <c:valAx>
        <c:axId val="147143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65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5877799650043743"/>
                  <c:y val="-9.652960046660833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'ssp585'!$J$2:$J$8</c:f>
              <c:numCache>
                <c:formatCode>General</c:formatCode>
                <c:ptCount val="7"/>
                <c:pt idx="0">
                  <c:v>7.7689494000000003</c:v>
                </c:pt>
                <c:pt idx="1">
                  <c:v>8.2259816200000007</c:v>
                </c:pt>
                <c:pt idx="2">
                  <c:v>8.3645038599999992</c:v>
                </c:pt>
                <c:pt idx="3">
                  <c:v>8.2546372899999998</c:v>
                </c:pt>
                <c:pt idx="4">
                  <c:v>8.53806507</c:v>
                </c:pt>
                <c:pt idx="5">
                  <c:v>8.6405607199999999</c:v>
                </c:pt>
                <c:pt idx="6">
                  <c:v>8.7266999199999997</c:v>
                </c:pt>
              </c:numCache>
            </c:numRef>
          </c:xVal>
          <c:yVal>
            <c:numRef>
              <c:f>'ssp585'!$M$2:$M$8</c:f>
              <c:numCache>
                <c:formatCode>General</c:formatCode>
                <c:ptCount val="7"/>
                <c:pt idx="0">
                  <c:v>20.902560000000001</c:v>
                </c:pt>
                <c:pt idx="1">
                  <c:v>20.371770000000001</c:v>
                </c:pt>
                <c:pt idx="2">
                  <c:v>21.835381999999999</c:v>
                </c:pt>
                <c:pt idx="3">
                  <c:v>22.336024999999999</c:v>
                </c:pt>
                <c:pt idx="4">
                  <c:v>22.167297000000001</c:v>
                </c:pt>
                <c:pt idx="5">
                  <c:v>22.462852000000002</c:v>
                </c:pt>
                <c:pt idx="6">
                  <c:v>22.646687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A2-5E47-80E5-75B7D6609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528336"/>
        <c:axId val="1471530048"/>
      </c:scatterChart>
      <c:valAx>
        <c:axId val="147152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530048"/>
        <c:crosses val="autoZero"/>
        <c:crossBetween val="midCat"/>
      </c:valAx>
      <c:valAx>
        <c:axId val="14715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52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'ssp585'!$L$2:$L$8</c:f>
              <c:numCache>
                <c:formatCode>General</c:formatCode>
                <c:ptCount val="7"/>
                <c:pt idx="0">
                  <c:v>-1.56968144528128</c:v>
                </c:pt>
                <c:pt idx="1">
                  <c:v>-1.5959363822183601</c:v>
                </c:pt>
                <c:pt idx="2">
                  <c:v>-1.5163324244368599</c:v>
                </c:pt>
                <c:pt idx="3">
                  <c:v>-1.45556081533874</c:v>
                </c:pt>
                <c:pt idx="4">
                  <c:v>-1.42481076352192</c:v>
                </c:pt>
                <c:pt idx="5">
                  <c:v>-1.39523773510027</c:v>
                </c:pt>
                <c:pt idx="6">
                  <c:v>-1.36770473292009</c:v>
                </c:pt>
              </c:numCache>
            </c:numRef>
          </c:xVal>
          <c:yVal>
            <c:numRef>
              <c:f>'ssp585'!$M$2:$M$8</c:f>
              <c:numCache>
                <c:formatCode>General</c:formatCode>
                <c:ptCount val="7"/>
                <c:pt idx="0">
                  <c:v>20.902560000000001</c:v>
                </c:pt>
                <c:pt idx="1">
                  <c:v>20.371770000000001</c:v>
                </c:pt>
                <c:pt idx="2">
                  <c:v>21.835381999999999</c:v>
                </c:pt>
                <c:pt idx="3">
                  <c:v>22.336024999999999</c:v>
                </c:pt>
                <c:pt idx="4">
                  <c:v>22.167297000000001</c:v>
                </c:pt>
                <c:pt idx="5">
                  <c:v>22.462852000000002</c:v>
                </c:pt>
                <c:pt idx="6">
                  <c:v>22.646687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C-044A-9E0E-28F2B92F6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019904"/>
        <c:axId val="564678896"/>
      </c:scatterChart>
      <c:valAx>
        <c:axId val="56501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78896"/>
        <c:crosses val="autoZero"/>
        <c:crossBetween val="midCat"/>
      </c:valAx>
      <c:valAx>
        <c:axId val="56467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1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20</xdr:row>
      <xdr:rowOff>139700</xdr:rowOff>
    </xdr:from>
    <xdr:to>
      <xdr:col>7</xdr:col>
      <xdr:colOff>736600</xdr:colOff>
      <xdr:row>35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2386D-15E3-5D47-95F4-16FAF019C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63500</xdr:colOff>
      <xdr:row>3</xdr:row>
      <xdr:rowOff>165100</xdr:rowOff>
    </xdr:from>
    <xdr:to>
      <xdr:col>7</xdr:col>
      <xdr:colOff>482600</xdr:colOff>
      <xdr:row>17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E3065C-79A0-DAC8-F2C5-0929D9896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22</xdr:row>
      <xdr:rowOff>63500</xdr:rowOff>
    </xdr:from>
    <xdr:to>
      <xdr:col>7</xdr:col>
      <xdr:colOff>241300</xdr:colOff>
      <xdr:row>35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8653B5-7FAA-5812-00A6-AA3CBE116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787400</xdr:colOff>
      <xdr:row>35</xdr:row>
      <xdr:rowOff>31750</xdr:rowOff>
    </xdr:from>
    <xdr:to>
      <xdr:col>7</xdr:col>
      <xdr:colOff>406400</xdr:colOff>
      <xdr:row>48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135347-AB6B-DA2B-EF29-A448D097E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9E42-A29F-4F45-9EC2-04725292E0C6}">
  <dimension ref="A1:O23"/>
  <sheetViews>
    <sheetView tabSelected="1" workbookViewId="0">
      <selection activeCell="D12" sqref="D12"/>
    </sheetView>
  </sheetViews>
  <sheetFormatPr baseColWidth="10" defaultRowHeight="16" x14ac:dyDescent="0.2"/>
  <sheetData>
    <row r="1" spans="1:15" x14ac:dyDescent="0.2">
      <c r="A1" s="5" t="s">
        <v>28</v>
      </c>
      <c r="B1" s="5" t="s">
        <v>54</v>
      </c>
      <c r="C1" s="5" t="s">
        <v>55</v>
      </c>
      <c r="D1" s="5" t="s">
        <v>2</v>
      </c>
      <c r="E1" s="5" t="s">
        <v>23</v>
      </c>
      <c r="F1" s="5" t="s">
        <v>27</v>
      </c>
      <c r="G1" s="5" t="s">
        <v>51</v>
      </c>
      <c r="H1" s="5" t="s">
        <v>53</v>
      </c>
      <c r="I1" s="5" t="s">
        <v>52</v>
      </c>
      <c r="J1" s="5" t="s">
        <v>56</v>
      </c>
      <c r="K1" s="5" t="s">
        <v>57</v>
      </c>
      <c r="L1" s="5" t="s">
        <v>58</v>
      </c>
      <c r="M1" s="5" t="s">
        <v>23</v>
      </c>
      <c r="N1" s="5" t="s">
        <v>59</v>
      </c>
      <c r="O1" s="5" t="s">
        <v>23</v>
      </c>
    </row>
    <row r="2" spans="1:15" x14ac:dyDescent="0.2">
      <c r="A2" s="8" t="s">
        <v>29</v>
      </c>
      <c r="B2" s="3">
        <v>3.5818762218287197</v>
      </c>
      <c r="C2" s="2">
        <v>1.8438137000000001</v>
      </c>
      <c r="D2" s="2">
        <v>-1.56968144528128</v>
      </c>
      <c r="E2" s="7">
        <v>3.8202868759064999E-2</v>
      </c>
      <c r="J2" s="6">
        <v>1.9387745000000001</v>
      </c>
      <c r="K2" s="6">
        <v>1.8353945</v>
      </c>
      <c r="L2">
        <v>-1.2939390385892999</v>
      </c>
      <c r="M2">
        <v>4.4743958637169998E-2</v>
      </c>
      <c r="N2">
        <v>-1.62638107656776</v>
      </c>
      <c r="O2">
        <v>4.6767497793181997E-2</v>
      </c>
    </row>
    <row r="3" spans="1:15" x14ac:dyDescent="0.2">
      <c r="A3" s="8" t="s">
        <v>30</v>
      </c>
      <c r="B3" s="3">
        <v>3.5431406833379802</v>
      </c>
      <c r="C3" s="2">
        <v>1.7911999999999999</v>
      </c>
      <c r="D3" s="2">
        <v>-1.5959363822183601</v>
      </c>
      <c r="E3" s="7">
        <v>2.7493934502712002E-2</v>
      </c>
      <c r="J3" s="6">
        <v>1.8841889000000001</v>
      </c>
      <c r="K3" s="6">
        <v>1.7829561</v>
      </c>
      <c r="L3">
        <v>-1.37343592697229</v>
      </c>
      <c r="M3">
        <v>3.7634241527998998E-2</v>
      </c>
      <c r="N3">
        <v>-1.63227880716005</v>
      </c>
      <c r="O3">
        <v>3.64740900802E-2</v>
      </c>
    </row>
    <row r="4" spans="1:15" x14ac:dyDescent="0.2">
      <c r="A4" s="8" t="s">
        <v>31</v>
      </c>
      <c r="B4" s="3">
        <v>3.56193593739604</v>
      </c>
      <c r="C4" s="2">
        <v>1.9520826</v>
      </c>
      <c r="D4" s="2">
        <v>-1.5163324244368599</v>
      </c>
      <c r="E4" s="7">
        <v>2.7550239505461E-2</v>
      </c>
      <c r="J4" s="6">
        <v>1.9885143000000001</v>
      </c>
      <c r="K4" s="6">
        <v>1.9484975</v>
      </c>
      <c r="L4">
        <v>-1.2855606770384</v>
      </c>
      <c r="M4">
        <v>3.0290161837686E-2</v>
      </c>
      <c r="N4">
        <v>-1.5119286911202601</v>
      </c>
      <c r="O4">
        <v>4.8401191626503998E-2</v>
      </c>
    </row>
    <row r="5" spans="1:15" x14ac:dyDescent="0.2">
      <c r="A5" s="8" t="s">
        <v>32</v>
      </c>
      <c r="B5" s="3">
        <v>3.5543499842559099</v>
      </c>
      <c r="C5" s="2">
        <v>2.0284886000000002</v>
      </c>
      <c r="D5" s="2">
        <v>-1.45556081533874</v>
      </c>
      <c r="E5" s="7">
        <v>3.1231181839289E-2</v>
      </c>
      <c r="J5" s="6">
        <v>2.0627936999999998</v>
      </c>
      <c r="K5" s="6">
        <v>2.0251912999999999</v>
      </c>
      <c r="L5">
        <v>-1.17705240151819</v>
      </c>
      <c r="M5">
        <v>4.9152485307220002E-2</v>
      </c>
      <c r="N5">
        <v>-1.5140491392312201</v>
      </c>
      <c r="O5">
        <v>3.4942321429201E-2</v>
      </c>
    </row>
    <row r="6" spans="1:15" x14ac:dyDescent="0.2">
      <c r="A6" s="8" t="s">
        <v>33</v>
      </c>
      <c r="B6" s="3">
        <v>3.6103780461385901</v>
      </c>
      <c r="C6" s="2">
        <v>1.9906594</v>
      </c>
      <c r="D6" s="2">
        <v>-1.42481076352192</v>
      </c>
      <c r="E6" s="7">
        <v>4.2144634623085001E-2</v>
      </c>
      <c r="J6" s="6">
        <v>2.0452729999999999</v>
      </c>
      <c r="K6" s="6">
        <v>1.9849243000000001</v>
      </c>
      <c r="L6">
        <v>-1.24511180867218</v>
      </c>
      <c r="M6">
        <v>4.0210995992353997E-2</v>
      </c>
      <c r="N6">
        <v>-1.41874509925964</v>
      </c>
      <c r="O6">
        <v>4.8345610983640999E-2</v>
      </c>
    </row>
    <row r="7" spans="1:15" x14ac:dyDescent="0.2">
      <c r="A7" s="8" t="s">
        <v>34</v>
      </c>
      <c r="B7" s="3">
        <v>3.6378733992514301</v>
      </c>
      <c r="C7" s="2">
        <v>1.9843002999999999</v>
      </c>
      <c r="D7" s="2">
        <v>-1.39523773510027</v>
      </c>
      <c r="E7" s="7">
        <v>3.0891634405011002E-2</v>
      </c>
      <c r="J7" s="6">
        <v>2.0910579999999999</v>
      </c>
      <c r="K7" s="6">
        <v>1.9728796</v>
      </c>
      <c r="L7">
        <v>-1.1889449945378101</v>
      </c>
      <c r="M7">
        <v>3.9753010269531E-2</v>
      </c>
      <c r="N7">
        <v>-1.4508689051710899</v>
      </c>
      <c r="O7">
        <v>3.7554013576750998E-2</v>
      </c>
    </row>
    <row r="8" spans="1:15" x14ac:dyDescent="0.2">
      <c r="A8" s="8" t="s">
        <v>35</v>
      </c>
      <c r="B8" s="3">
        <v>3.7900871035064903</v>
      </c>
      <c r="C8" s="2">
        <v>1.9866982</v>
      </c>
      <c r="D8" s="2">
        <v>-1.36770473292009</v>
      </c>
      <c r="E8" s="7">
        <v>2.4083899992825002E-2</v>
      </c>
      <c r="J8" s="6">
        <v>2.0580639999999999</v>
      </c>
      <c r="K8" s="6">
        <v>1.9791205000000001</v>
      </c>
      <c r="L8">
        <v>-1.12128856864471</v>
      </c>
      <c r="M8">
        <v>2.8777168181975999E-2</v>
      </c>
      <c r="N8">
        <v>-1.4989372182106</v>
      </c>
      <c r="O8">
        <v>5.5311231798980003E-2</v>
      </c>
    </row>
    <row r="9" spans="1:15" x14ac:dyDescent="0.2">
      <c r="A9" s="8" t="s">
        <v>36</v>
      </c>
      <c r="F9" s="1">
        <v>22.758214224789928</v>
      </c>
      <c r="G9" s="1">
        <v>-1.3739858801446172</v>
      </c>
      <c r="H9" s="4">
        <v>23.279992125730001</v>
      </c>
      <c r="I9" s="4">
        <v>-1.3179277460055003</v>
      </c>
    </row>
    <row r="10" spans="1:15" x14ac:dyDescent="0.2">
      <c r="A10" s="8" t="s">
        <v>37</v>
      </c>
      <c r="F10" s="1">
        <v>23.460486004180893</v>
      </c>
      <c r="G10" s="1">
        <v>-1.2985360660756682</v>
      </c>
      <c r="H10" s="4">
        <v>24.014533586150002</v>
      </c>
      <c r="I10" s="4">
        <v>-1.2390109815262462</v>
      </c>
    </row>
    <row r="11" spans="1:15" x14ac:dyDescent="0.2">
      <c r="A11" s="8" t="s">
        <v>38</v>
      </c>
      <c r="F11" s="1">
        <v>23.688830287297563</v>
      </c>
      <c r="G11" s="1">
        <v>-1.2740034930598458</v>
      </c>
      <c r="H11" s="4">
        <v>24.150633375649999</v>
      </c>
      <c r="I11" s="4">
        <v>-1.224388859273942</v>
      </c>
    </row>
    <row r="12" spans="1:15" x14ac:dyDescent="0.2">
      <c r="A12" s="8" t="s">
        <v>39</v>
      </c>
      <c r="F12" s="1">
        <v>23.925734355519598</v>
      </c>
      <c r="G12" s="1">
        <v>-1.2485512843508024</v>
      </c>
      <c r="H12" s="4">
        <v>24.731916540629999</v>
      </c>
      <c r="I12" s="4">
        <v>-1.1619376715625602</v>
      </c>
    </row>
    <row r="13" spans="1:15" x14ac:dyDescent="0.2">
      <c r="A13" s="8" t="s">
        <v>40</v>
      </c>
      <c r="F13" s="1">
        <v>24.746055678418468</v>
      </c>
      <c r="G13" s="1">
        <v>-1.1604186082190775</v>
      </c>
      <c r="H13" s="4">
        <v>25.228831194199998</v>
      </c>
      <c r="I13" s="4">
        <v>-1.1085507644985924</v>
      </c>
    </row>
    <row r="14" spans="1:15" x14ac:dyDescent="0.2">
      <c r="A14" s="8" t="s">
        <v>41</v>
      </c>
      <c r="F14" s="1">
        <v>24.560689008026042</v>
      </c>
      <c r="G14" s="1">
        <v>-1.180333805192844</v>
      </c>
      <c r="H14" s="4">
        <v>25.817012946529999</v>
      </c>
      <c r="I14" s="4">
        <v>-1.0453584148209025</v>
      </c>
    </row>
    <row r="15" spans="1:15" x14ac:dyDescent="0.2">
      <c r="A15" s="8" t="s">
        <v>42</v>
      </c>
      <c r="F15" s="1">
        <v>24.538891821505224</v>
      </c>
      <c r="G15" s="1">
        <v>-1.1826756245831209</v>
      </c>
      <c r="H15" s="4">
        <v>26.370860415399999</v>
      </c>
      <c r="I15" s="4">
        <v>-0.98585482977717587</v>
      </c>
    </row>
    <row r="16" spans="1:15" x14ac:dyDescent="0.2">
      <c r="A16" s="8" t="s">
        <v>43</v>
      </c>
      <c r="F16" s="1">
        <v>25.54577445584609</v>
      </c>
      <c r="G16" s="1">
        <v>-1.0744994030978219</v>
      </c>
      <c r="H16" s="4">
        <v>27.318964231999999</v>
      </c>
      <c r="I16" s="4">
        <v>-0.88399361481767957</v>
      </c>
    </row>
    <row r="17" spans="1:9" x14ac:dyDescent="0.2">
      <c r="A17" s="8" t="s">
        <v>44</v>
      </c>
      <c r="F17" s="1">
        <v>26.190998880182807</v>
      </c>
      <c r="G17" s="1">
        <v>-1.0051785727902609</v>
      </c>
      <c r="H17" s="4">
        <v>27.5232510192</v>
      </c>
      <c r="I17" s="4">
        <v>-0.86204570154064297</v>
      </c>
    </row>
    <row r="18" spans="1:9" x14ac:dyDescent="0.2">
      <c r="A18" s="8" t="s">
        <v>45</v>
      </c>
      <c r="F18" s="1">
        <v>26.402686433944606</v>
      </c>
      <c r="G18" s="1">
        <v>-0.98243554503270281</v>
      </c>
      <c r="H18" s="4">
        <v>27.756141838800001</v>
      </c>
      <c r="I18" s="4">
        <v>-0.83702466331463887</v>
      </c>
    </row>
    <row r="19" spans="1:9" x14ac:dyDescent="0.2">
      <c r="A19" s="8" t="s">
        <v>46</v>
      </c>
      <c r="F19" s="1">
        <v>26.22765526819845</v>
      </c>
      <c r="G19" s="1">
        <v>-1.0012403287352056</v>
      </c>
      <c r="H19" s="4">
        <v>29.2202620242</v>
      </c>
      <c r="I19" s="4">
        <v>-0.67972431463933436</v>
      </c>
    </row>
    <row r="20" spans="1:9" x14ac:dyDescent="0.2">
      <c r="A20" s="8" t="s">
        <v>47</v>
      </c>
      <c r="F20" s="1">
        <v>26.857565287068603</v>
      </c>
      <c r="G20" s="1">
        <v>-0.93356482873841229</v>
      </c>
      <c r="H20" s="4">
        <v>29.228330617600001</v>
      </c>
      <c r="I20" s="4">
        <v>-0.67885745099808714</v>
      </c>
    </row>
    <row r="21" spans="1:9" x14ac:dyDescent="0.2">
      <c r="A21" s="8" t="s">
        <v>48</v>
      </c>
      <c r="F21" s="1">
        <v>27.710782522786388</v>
      </c>
      <c r="G21" s="1">
        <v>-0.84189792187344037</v>
      </c>
      <c r="H21" s="4">
        <v>29.654608083300001</v>
      </c>
      <c r="I21" s="4">
        <v>-0.63305957548507652</v>
      </c>
    </row>
    <row r="22" spans="1:9" x14ac:dyDescent="0.2">
      <c r="A22" s="8" t="s">
        <v>49</v>
      </c>
      <c r="F22" s="1">
        <v>28.54915065676364</v>
      </c>
      <c r="G22" s="1">
        <v>-0.75182635458823321</v>
      </c>
      <c r="H22" s="4">
        <v>31.120862169800002</v>
      </c>
      <c r="I22" s="4">
        <v>-0.47552996736070763</v>
      </c>
    </row>
    <row r="23" spans="1:9" x14ac:dyDescent="0.2">
      <c r="A23" s="8" t="s">
        <v>50</v>
      </c>
      <c r="F23" s="1">
        <v>28.923755113220047</v>
      </c>
      <c r="G23" s="1">
        <v>-0.71158006046326205</v>
      </c>
      <c r="H23" s="4">
        <v>31.591893899699997</v>
      </c>
      <c r="I23" s="4">
        <v>-0.42492383810352607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1F2F-FC52-374F-9693-F59C55993B6E}">
  <dimension ref="A1:B8"/>
  <sheetViews>
    <sheetView workbookViewId="0">
      <selection activeCell="B2" sqref="B2:B8"/>
    </sheetView>
  </sheetViews>
  <sheetFormatPr baseColWidth="10" defaultRowHeight="16" x14ac:dyDescent="0.2"/>
  <sheetData>
    <row r="1" spans="1:2" x14ac:dyDescent="0.2">
      <c r="A1" s="5" t="s">
        <v>28</v>
      </c>
      <c r="B1" t="s">
        <v>60</v>
      </c>
    </row>
    <row r="2" spans="1:2" x14ac:dyDescent="0.2">
      <c r="A2" s="8" t="s">
        <v>29</v>
      </c>
      <c r="B2">
        <v>2.0860224000000001</v>
      </c>
    </row>
    <row r="3" spans="1:2" x14ac:dyDescent="0.2">
      <c r="A3" s="8" t="s">
        <v>30</v>
      </c>
      <c r="B3">
        <v>2.0325774999999999</v>
      </c>
    </row>
    <row r="4" spans="1:2" x14ac:dyDescent="0.2">
      <c r="A4" s="8" t="s">
        <v>31</v>
      </c>
      <c r="B4">
        <v>2.1789459999999998</v>
      </c>
    </row>
    <row r="5" spans="1:2" x14ac:dyDescent="0.2">
      <c r="A5" s="8" t="s">
        <v>32</v>
      </c>
      <c r="B5">
        <v>2.2292610000000002</v>
      </c>
    </row>
    <row r="6" spans="1:2" x14ac:dyDescent="0.2">
      <c r="A6" s="8" t="s">
        <v>33</v>
      </c>
      <c r="B6">
        <v>2.2126572000000002</v>
      </c>
    </row>
    <row r="7" spans="1:2" x14ac:dyDescent="0.2">
      <c r="A7" s="8" t="s">
        <v>34</v>
      </c>
      <c r="B7">
        <v>2.2422445</v>
      </c>
    </row>
    <row r="8" spans="1:2" x14ac:dyDescent="0.2">
      <c r="A8" s="8" t="s">
        <v>35</v>
      </c>
      <c r="B8">
        <v>2.2600731999999999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A34A-E7A4-924D-8DAE-0D0153CA85CB}">
  <dimension ref="A1:P353"/>
  <sheetViews>
    <sheetView workbookViewId="0">
      <selection activeCell="P2" sqref="P2:P8"/>
    </sheetView>
  </sheetViews>
  <sheetFormatPr baseColWidth="10" defaultRowHeight="16" x14ac:dyDescent="0.2"/>
  <sheetData>
    <row r="1" spans="1:16" x14ac:dyDescent="0.2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I1" t="s">
        <v>0</v>
      </c>
      <c r="J1" t="s">
        <v>25</v>
      </c>
      <c r="K1" s="5" t="s">
        <v>0</v>
      </c>
      <c r="L1" s="5" t="s">
        <v>2</v>
      </c>
      <c r="M1" s="5" t="s">
        <v>24</v>
      </c>
      <c r="P1" s="5" t="s">
        <v>55</v>
      </c>
    </row>
    <row r="2" spans="1:16" x14ac:dyDescent="0.2">
      <c r="A2" t="s">
        <v>7</v>
      </c>
      <c r="B2">
        <v>1990</v>
      </c>
      <c r="C2">
        <v>1994</v>
      </c>
      <c r="D2">
        <v>6.8033037185668901</v>
      </c>
      <c r="E2">
        <v>5.6459336280822701</v>
      </c>
      <c r="F2">
        <v>10.728420257568301</v>
      </c>
      <c r="I2">
        <v>1990</v>
      </c>
      <c r="J2" cm="1">
        <f t="array" ref="J2">MEDIAN(IF($B:$B=$I2,D:D))</f>
        <v>8.2455854654312049</v>
      </c>
      <c r="K2" s="4">
        <v>1990</v>
      </c>
      <c r="L2" s="1">
        <v>-1.56968144528128</v>
      </c>
      <c r="M2" s="1">
        <v>20.902560000000001</v>
      </c>
      <c r="P2" s="2">
        <v>2.0902560000000001</v>
      </c>
    </row>
    <row r="3" spans="1:16" x14ac:dyDescent="0.2">
      <c r="A3" t="s">
        <v>7</v>
      </c>
      <c r="B3">
        <v>1995</v>
      </c>
      <c r="C3">
        <v>1999</v>
      </c>
      <c r="D3">
        <v>7.2447495460510201</v>
      </c>
      <c r="E3">
        <v>5.9924464225768999</v>
      </c>
      <c r="F3">
        <v>11.557386398315399</v>
      </c>
      <c r="I3">
        <v>1995</v>
      </c>
      <c r="J3" cm="1">
        <f t="array" ref="J3">MEDIAN(IF($B:$B=$I3,D:D))</f>
        <v>8.4138440767923939</v>
      </c>
      <c r="K3" s="4">
        <v>1995</v>
      </c>
      <c r="L3" s="1">
        <v>-1.5959363822183601</v>
      </c>
      <c r="M3" s="1">
        <v>20.371770000000001</v>
      </c>
      <c r="P3" s="2">
        <v>2.0371770000000002</v>
      </c>
    </row>
    <row r="4" spans="1:16" x14ac:dyDescent="0.2">
      <c r="A4" t="s">
        <v>7</v>
      </c>
      <c r="B4">
        <v>2000</v>
      </c>
      <c r="C4">
        <v>2004</v>
      </c>
      <c r="D4">
        <v>7.5736670494079501</v>
      </c>
      <c r="E4">
        <v>6.2873964309692303</v>
      </c>
      <c r="F4">
        <v>11.9909400939941</v>
      </c>
      <c r="I4">
        <v>2000</v>
      </c>
      <c r="J4" cm="1">
        <f t="array" ref="J4">MEDIAN(IF($B:$B=$I4,D:D))</f>
        <v>8.5712309241294857</v>
      </c>
      <c r="K4" s="4">
        <v>2000</v>
      </c>
      <c r="L4" s="1">
        <v>-1.5163324244368599</v>
      </c>
      <c r="M4" s="1">
        <v>21.835381999999999</v>
      </c>
      <c r="P4" s="2">
        <v>2.1835382000000001</v>
      </c>
    </row>
    <row r="5" spans="1:16" x14ac:dyDescent="0.2">
      <c r="A5" t="s">
        <v>7</v>
      </c>
      <c r="B5">
        <v>2005</v>
      </c>
      <c r="C5">
        <v>2009</v>
      </c>
      <c r="D5">
        <v>7.2238469123840297</v>
      </c>
      <c r="E5">
        <v>5.9700298309326101</v>
      </c>
      <c r="F5">
        <v>11.5126132965087</v>
      </c>
      <c r="I5">
        <v>2005</v>
      </c>
      <c r="J5" cm="1">
        <f t="array" ref="J5">MEDIAN(IF($B:$B=$I5,D:D))</f>
        <v>8.7531785607337937</v>
      </c>
      <c r="K5" s="4">
        <v>2005</v>
      </c>
      <c r="L5" s="1">
        <v>-1.45556081533874</v>
      </c>
      <c r="M5" s="1">
        <v>22.336024999999999</v>
      </c>
      <c r="P5" s="2">
        <v>2.2336024999999999</v>
      </c>
    </row>
    <row r="6" spans="1:16" x14ac:dyDescent="0.2">
      <c r="A6" t="s">
        <v>7</v>
      </c>
      <c r="B6">
        <v>2010</v>
      </c>
      <c r="C6">
        <v>2014</v>
      </c>
      <c r="D6">
        <v>8.0722846984863192</v>
      </c>
      <c r="E6">
        <v>6.7687120437621999</v>
      </c>
      <c r="F6">
        <v>12.579016685485801</v>
      </c>
      <c r="I6">
        <v>2010</v>
      </c>
      <c r="J6" cm="1">
        <f t="array" ref="J6">MEDIAN(IF($B:$B=$I6,D:D))</f>
        <v>8.8333790421485858</v>
      </c>
      <c r="K6" s="4">
        <v>2010</v>
      </c>
      <c r="L6" s="1">
        <v>-1.42481076352192</v>
      </c>
      <c r="M6" s="1">
        <v>22.167297000000001</v>
      </c>
      <c r="P6" s="2">
        <v>2.2167297000000001</v>
      </c>
    </row>
    <row r="7" spans="1:16" x14ac:dyDescent="0.2">
      <c r="A7" t="s">
        <v>7</v>
      </c>
      <c r="B7">
        <v>2015</v>
      </c>
      <c r="C7">
        <v>2019</v>
      </c>
      <c r="D7">
        <v>7.7490425109863201</v>
      </c>
      <c r="E7">
        <v>6.3865175247192303</v>
      </c>
      <c r="F7">
        <v>12.3648128509521</v>
      </c>
      <c r="I7">
        <v>2015</v>
      </c>
      <c r="J7" cm="1">
        <f t="array" ref="J7">MEDIAN(IF($B:$B=$I7,D:D))</f>
        <v>9.080934576193485</v>
      </c>
      <c r="K7" s="4">
        <v>2015</v>
      </c>
      <c r="L7" s="1">
        <v>-1.39523773510027</v>
      </c>
      <c r="M7" s="1">
        <v>22.462852000000002</v>
      </c>
      <c r="P7" s="2">
        <v>2.2462852</v>
      </c>
    </row>
    <row r="8" spans="1:16" x14ac:dyDescent="0.2">
      <c r="A8" t="s">
        <v>7</v>
      </c>
      <c r="B8">
        <v>2020</v>
      </c>
      <c r="C8">
        <v>2024</v>
      </c>
      <c r="D8">
        <v>7.9075751304626403</v>
      </c>
      <c r="E8">
        <v>6.5424032211303702</v>
      </c>
      <c r="F8">
        <v>12.5938520431518</v>
      </c>
      <c r="I8">
        <v>2020</v>
      </c>
      <c r="J8" cm="1">
        <f t="array" ref="J8">MEDIAN(IF($B:$B=$I8,D:D))</f>
        <v>9.199306325117746</v>
      </c>
      <c r="K8" s="4">
        <v>2020</v>
      </c>
      <c r="L8" s="1">
        <v>-1.36770473292009</v>
      </c>
      <c r="M8" s="1">
        <v>22.646687</v>
      </c>
      <c r="P8" s="2">
        <v>2.2646687000000001</v>
      </c>
    </row>
    <row r="9" spans="1:16" x14ac:dyDescent="0.2">
      <c r="A9" t="s">
        <v>7</v>
      </c>
      <c r="B9">
        <v>2025</v>
      </c>
      <c r="C9">
        <v>2029</v>
      </c>
      <c r="D9">
        <v>8.2788419723510707</v>
      </c>
      <c r="E9">
        <v>6.8848247528076101</v>
      </c>
      <c r="F9">
        <v>13.064556121826101</v>
      </c>
      <c r="I9">
        <v>2025</v>
      </c>
      <c r="J9" cm="1">
        <f t="array" ref="J9">MEDIAN(IF($B:$B=$I9,D:D))</f>
        <v>9.1061996738115898</v>
      </c>
      <c r="L9">
        <f>(M9-35.547)/9.3078</f>
        <v>-1.3739858801446172</v>
      </c>
      <c r="M9">
        <f>J9*2.4992</f>
        <v>22.758214224789928</v>
      </c>
    </row>
    <row r="10" spans="1:16" x14ac:dyDescent="0.2">
      <c r="A10" t="s">
        <v>7</v>
      </c>
      <c r="B10">
        <v>2030</v>
      </c>
      <c r="C10">
        <v>2034</v>
      </c>
      <c r="D10">
        <v>8.3941688537597603</v>
      </c>
      <c r="E10">
        <v>7.04612064361572</v>
      </c>
      <c r="F10">
        <v>13.0565996170043</v>
      </c>
      <c r="I10">
        <v>2030</v>
      </c>
      <c r="J10" cm="1">
        <f t="array" ref="J10">MEDIAN(IF($B:$B=$I10,D:D))</f>
        <v>9.3871983051299992</v>
      </c>
      <c r="L10">
        <f t="shared" ref="L10:L23" si="0">(M10-35.547)/9.3078</f>
        <v>-1.2985360660756682</v>
      </c>
      <c r="M10">
        <f t="shared" ref="M10:M23" si="1">J10*2.4992</f>
        <v>23.460486004180893</v>
      </c>
    </row>
    <row r="11" spans="1:16" x14ac:dyDescent="0.2">
      <c r="A11" t="s">
        <v>7</v>
      </c>
      <c r="B11">
        <v>2035</v>
      </c>
      <c r="C11">
        <v>2039</v>
      </c>
      <c r="D11">
        <v>8.6893587112426705</v>
      </c>
      <c r="E11">
        <v>7.2840981483459402</v>
      </c>
      <c r="F11">
        <v>13.5284261703491</v>
      </c>
      <c r="I11">
        <v>2035</v>
      </c>
      <c r="J11" cm="1">
        <f t="array" ref="J11">MEDIAN(IF($B:$B=$I11,D:D))</f>
        <v>9.4785652558008806</v>
      </c>
      <c r="L11">
        <f t="shared" si="0"/>
        <v>-1.2740034930598458</v>
      </c>
      <c r="M11">
        <f t="shared" si="1"/>
        <v>23.688830287297563</v>
      </c>
    </row>
    <row r="12" spans="1:16" x14ac:dyDescent="0.2">
      <c r="A12" t="s">
        <v>7</v>
      </c>
      <c r="B12">
        <v>2040</v>
      </c>
      <c r="C12">
        <v>2044</v>
      </c>
      <c r="D12">
        <v>8.8000841140746999</v>
      </c>
      <c r="E12">
        <v>7.4095497131347603</v>
      </c>
      <c r="F12">
        <v>13.5519104003906</v>
      </c>
      <c r="I12">
        <v>2040</v>
      </c>
      <c r="J12" cm="1">
        <f t="array" ref="J12">MEDIAN(IF($B:$B=$I12,D:D))</f>
        <v>9.5733572165171239</v>
      </c>
      <c r="L12">
        <f t="shared" si="0"/>
        <v>-1.2485512843508024</v>
      </c>
      <c r="M12">
        <f t="shared" si="1"/>
        <v>23.925734355519598</v>
      </c>
    </row>
    <row r="13" spans="1:16" x14ac:dyDescent="0.2">
      <c r="A13" t="s">
        <v>7</v>
      </c>
      <c r="B13">
        <v>2045</v>
      </c>
      <c r="C13">
        <v>2049</v>
      </c>
      <c r="D13">
        <v>8.8267936706542898</v>
      </c>
      <c r="E13">
        <v>7.3149647712707502</v>
      </c>
      <c r="F13">
        <v>14.0079593658447</v>
      </c>
      <c r="I13">
        <v>2045</v>
      </c>
      <c r="J13" cm="1">
        <f t="array" ref="J13">MEDIAN(IF($B:$B=$I13,D:D))</f>
        <v>9.9015907804171199</v>
      </c>
      <c r="L13">
        <f t="shared" si="0"/>
        <v>-1.1604186082190775</v>
      </c>
      <c r="M13">
        <f t="shared" si="1"/>
        <v>24.746055678418468</v>
      </c>
    </row>
    <row r="14" spans="1:16" x14ac:dyDescent="0.2">
      <c r="A14" t="s">
        <v>7</v>
      </c>
      <c r="B14">
        <v>2050</v>
      </c>
      <c r="C14">
        <v>2054</v>
      </c>
      <c r="D14">
        <v>8.8981609344482404</v>
      </c>
      <c r="E14">
        <v>7.4471812248229901</v>
      </c>
      <c r="F14">
        <v>13.9025049209594</v>
      </c>
      <c r="I14">
        <v>2050</v>
      </c>
      <c r="J14" cm="1">
        <f t="array" ref="J14">MEDIAN(IF($B:$B=$I14,D:D))</f>
        <v>9.8274203777312898</v>
      </c>
      <c r="L14">
        <f t="shared" si="0"/>
        <v>-1.180333805192844</v>
      </c>
      <c r="M14">
        <f t="shared" si="1"/>
        <v>24.560689008026042</v>
      </c>
    </row>
    <row r="15" spans="1:16" x14ac:dyDescent="0.2">
      <c r="A15" t="s">
        <v>7</v>
      </c>
      <c r="B15">
        <v>2055</v>
      </c>
      <c r="C15">
        <v>2059</v>
      </c>
      <c r="D15">
        <v>9.09356689453125</v>
      </c>
      <c r="E15">
        <v>7.6579556465148899</v>
      </c>
      <c r="F15">
        <v>14.0458621978759</v>
      </c>
      <c r="I15">
        <v>2055</v>
      </c>
      <c r="J15" cm="1">
        <f t="array" ref="J15">MEDIAN(IF($B:$B=$I15,D:D))</f>
        <v>9.81869871218999</v>
      </c>
      <c r="L15">
        <f t="shared" si="0"/>
        <v>-1.1826756245831209</v>
      </c>
      <c r="M15">
        <f t="shared" si="1"/>
        <v>24.538891821505224</v>
      </c>
    </row>
    <row r="16" spans="1:16" x14ac:dyDescent="0.2">
      <c r="A16" t="s">
        <v>7</v>
      </c>
      <c r="B16">
        <v>2060</v>
      </c>
      <c r="C16">
        <v>2064</v>
      </c>
      <c r="D16">
        <v>8.6395597457885707</v>
      </c>
      <c r="E16">
        <v>7.2630558013915998</v>
      </c>
      <c r="F16">
        <v>13.3933715820312</v>
      </c>
      <c r="I16">
        <v>2060</v>
      </c>
      <c r="J16" cm="1">
        <f t="array" ref="J16">MEDIAN(IF($B:$B=$I16,D:D))</f>
        <v>10.221580688158646</v>
      </c>
      <c r="L16">
        <f t="shared" si="0"/>
        <v>-1.0744994030978219</v>
      </c>
      <c r="M16">
        <f t="shared" si="1"/>
        <v>25.54577445584609</v>
      </c>
    </row>
    <row r="17" spans="1:13" x14ac:dyDescent="0.2">
      <c r="A17" t="s">
        <v>7</v>
      </c>
      <c r="B17">
        <v>2065</v>
      </c>
      <c r="C17">
        <v>2069</v>
      </c>
      <c r="D17">
        <v>9.3326778411865199</v>
      </c>
      <c r="E17">
        <v>7.7337870597839302</v>
      </c>
      <c r="F17">
        <v>14.823873519897401</v>
      </c>
      <c r="I17">
        <v>2065</v>
      </c>
      <c r="J17" cm="1">
        <f t="array" ref="J17">MEDIAN(IF($B:$B=$I17,D:D))</f>
        <v>10.4797530730565</v>
      </c>
      <c r="L17">
        <f t="shared" si="0"/>
        <v>-1.0051785727902609</v>
      </c>
      <c r="M17">
        <f t="shared" si="1"/>
        <v>26.190998880182807</v>
      </c>
    </row>
    <row r="18" spans="1:13" x14ac:dyDescent="0.2">
      <c r="A18" t="s">
        <v>7</v>
      </c>
      <c r="B18">
        <v>2070</v>
      </c>
      <c r="C18">
        <v>2074</v>
      </c>
      <c r="D18">
        <v>9.8083782196044904</v>
      </c>
      <c r="E18">
        <v>8.1779279708862305</v>
      </c>
      <c r="F18">
        <v>15.382701873779199</v>
      </c>
      <c r="I18">
        <v>2070</v>
      </c>
      <c r="J18" cm="1">
        <f t="array" ref="J18">MEDIAN(IF($B:$B=$I18,D:D))</f>
        <v>10.5644551992416</v>
      </c>
      <c r="L18">
        <f t="shared" si="0"/>
        <v>-0.98243554503270281</v>
      </c>
      <c r="M18">
        <f t="shared" si="1"/>
        <v>26.402686433944606</v>
      </c>
    </row>
    <row r="19" spans="1:13" x14ac:dyDescent="0.2">
      <c r="A19" t="s">
        <v>7</v>
      </c>
      <c r="B19">
        <v>2075</v>
      </c>
      <c r="C19">
        <v>2079</v>
      </c>
      <c r="D19">
        <v>9.5202074050903303</v>
      </c>
      <c r="E19">
        <v>7.9938039779662997</v>
      </c>
      <c r="F19">
        <v>14.7449836730957</v>
      </c>
      <c r="I19">
        <v>2075</v>
      </c>
      <c r="J19" cm="1">
        <f t="array" ref="J19">MEDIAN(IF($B:$B=$I19,D:D))</f>
        <v>10.49442032178235</v>
      </c>
      <c r="L19">
        <f t="shared" si="0"/>
        <v>-1.0012403287352056</v>
      </c>
      <c r="M19">
        <f t="shared" si="1"/>
        <v>26.22765526819845</v>
      </c>
    </row>
    <row r="20" spans="1:13" x14ac:dyDescent="0.2">
      <c r="A20" t="s">
        <v>7</v>
      </c>
      <c r="B20">
        <v>2080</v>
      </c>
      <c r="C20">
        <v>2084</v>
      </c>
      <c r="D20">
        <v>9.8100347518920898</v>
      </c>
      <c r="E20">
        <v>8.2524957656860298</v>
      </c>
      <c r="F20">
        <v>15.118608474731399</v>
      </c>
      <c r="I20">
        <v>2080</v>
      </c>
      <c r="J20" cm="1">
        <f t="array" ref="J20">MEDIAN(IF($B:$B=$I20,D:D))</f>
        <v>10.7464649836222</v>
      </c>
      <c r="L20">
        <f t="shared" si="0"/>
        <v>-0.93356482873841229</v>
      </c>
      <c r="M20">
        <f t="shared" si="1"/>
        <v>26.857565287068603</v>
      </c>
    </row>
    <row r="21" spans="1:13" x14ac:dyDescent="0.2">
      <c r="A21" t="s">
        <v>7</v>
      </c>
      <c r="B21">
        <v>2085</v>
      </c>
      <c r="C21">
        <v>2089</v>
      </c>
      <c r="D21">
        <v>10.503074645996</v>
      </c>
      <c r="E21">
        <v>8.8434419631958008</v>
      </c>
      <c r="F21">
        <v>16.218196868896399</v>
      </c>
      <c r="I21">
        <v>2085</v>
      </c>
      <c r="J21" cm="1">
        <f t="array" ref="J21">MEDIAN(IF($B:$B=$I21,D:D))</f>
        <v>11.087861124674451</v>
      </c>
      <c r="L21">
        <f t="shared" si="0"/>
        <v>-0.84189792187344037</v>
      </c>
      <c r="M21">
        <f t="shared" si="1"/>
        <v>27.710782522786388</v>
      </c>
    </row>
    <row r="22" spans="1:13" x14ac:dyDescent="0.2">
      <c r="A22" t="s">
        <v>7</v>
      </c>
      <c r="B22">
        <v>2090</v>
      </c>
      <c r="C22">
        <v>2094</v>
      </c>
      <c r="D22">
        <v>10.0147171020507</v>
      </c>
      <c r="E22">
        <v>8.4801673889160103</v>
      </c>
      <c r="F22">
        <v>15.3597965240478</v>
      </c>
      <c r="I22">
        <v>2090</v>
      </c>
      <c r="J22" cm="1">
        <f t="array" ref="J22">MEDIAN(IF($B:$B=$I22,D:D))</f>
        <v>11.423315723737051</v>
      </c>
      <c r="L22">
        <f t="shared" si="0"/>
        <v>-0.75182635458823321</v>
      </c>
      <c r="M22">
        <f t="shared" si="1"/>
        <v>28.54915065676364</v>
      </c>
    </row>
    <row r="23" spans="1:13" x14ac:dyDescent="0.2">
      <c r="A23" t="s">
        <v>7</v>
      </c>
      <c r="B23">
        <v>2095</v>
      </c>
      <c r="C23">
        <v>2099</v>
      </c>
      <c r="D23">
        <v>11.312561988830501</v>
      </c>
      <c r="E23">
        <v>9.5692424774169904</v>
      </c>
      <c r="F23">
        <v>17.3769817352294</v>
      </c>
      <c r="I23">
        <v>2095</v>
      </c>
      <c r="J23" cm="1">
        <f t="array" ref="J23">MEDIAN(IF($B:$B=$I23,D:D))</f>
        <v>11.573205471038751</v>
      </c>
      <c r="L23">
        <f t="shared" si="0"/>
        <v>-0.71158006046326205</v>
      </c>
      <c r="M23">
        <f t="shared" si="1"/>
        <v>28.923755113220047</v>
      </c>
    </row>
    <row r="24" spans="1:13" x14ac:dyDescent="0.2">
      <c r="A24" t="s">
        <v>8</v>
      </c>
      <c r="B24">
        <v>1990</v>
      </c>
      <c r="C24">
        <v>1994</v>
      </c>
      <c r="D24">
        <v>8.6505317687988192</v>
      </c>
      <c r="E24">
        <v>7.2057785987854004</v>
      </c>
      <c r="F24">
        <v>11.0641784667968</v>
      </c>
    </row>
    <row r="25" spans="1:13" x14ac:dyDescent="0.2">
      <c r="A25" t="s">
        <v>8</v>
      </c>
      <c r="B25">
        <v>1995</v>
      </c>
      <c r="C25">
        <v>1999</v>
      </c>
      <c r="D25">
        <v>8.5460186004638601</v>
      </c>
      <c r="E25">
        <v>7.1809105873107901</v>
      </c>
      <c r="F25">
        <v>10.806337356567299</v>
      </c>
    </row>
    <row r="26" spans="1:13" x14ac:dyDescent="0.2">
      <c r="A26" t="s">
        <v>8</v>
      </c>
      <c r="B26">
        <v>2000</v>
      </c>
      <c r="C26">
        <v>2004</v>
      </c>
      <c r="D26">
        <v>8.7383394241333008</v>
      </c>
      <c r="E26">
        <v>7.2653713226318297</v>
      </c>
      <c r="F26">
        <v>11.1769189834594</v>
      </c>
    </row>
    <row r="27" spans="1:13" x14ac:dyDescent="0.2">
      <c r="A27" t="s">
        <v>8</v>
      </c>
      <c r="B27">
        <v>2005</v>
      </c>
      <c r="C27">
        <v>2009</v>
      </c>
      <c r="D27">
        <v>9.2705373764037997</v>
      </c>
      <c r="E27">
        <v>7.8624992370605398</v>
      </c>
      <c r="F27">
        <v>11.5946083068847</v>
      </c>
    </row>
    <row r="28" spans="1:13" x14ac:dyDescent="0.2">
      <c r="A28" t="s">
        <v>8</v>
      </c>
      <c r="B28">
        <v>2010</v>
      </c>
      <c r="C28">
        <v>2014</v>
      </c>
      <c r="D28">
        <v>9.0616168975830007</v>
      </c>
      <c r="E28">
        <v>7.5742421150207502</v>
      </c>
      <c r="F28">
        <v>11.551402091979901</v>
      </c>
    </row>
    <row r="29" spans="1:13" x14ac:dyDescent="0.2">
      <c r="A29" t="s">
        <v>8</v>
      </c>
      <c r="B29">
        <v>2015</v>
      </c>
      <c r="C29">
        <v>2019</v>
      </c>
      <c r="D29">
        <v>9.8085689544677699</v>
      </c>
      <c r="E29">
        <v>8.1770534515380806</v>
      </c>
      <c r="F29">
        <v>12.526081085205</v>
      </c>
    </row>
    <row r="30" spans="1:13" x14ac:dyDescent="0.2">
      <c r="A30" t="s">
        <v>8</v>
      </c>
      <c r="B30">
        <v>2020</v>
      </c>
      <c r="C30">
        <v>2024</v>
      </c>
      <c r="D30">
        <v>10.0252075195312</v>
      </c>
      <c r="E30">
        <v>8.5557556152343697</v>
      </c>
      <c r="F30">
        <v>12.510196685791</v>
      </c>
    </row>
    <row r="31" spans="1:13" x14ac:dyDescent="0.2">
      <c r="A31" t="s">
        <v>8</v>
      </c>
      <c r="B31">
        <v>2025</v>
      </c>
      <c r="C31">
        <v>2029</v>
      </c>
      <c r="D31">
        <v>9.2942352294921804</v>
      </c>
      <c r="E31">
        <v>7.8141150474548304</v>
      </c>
      <c r="F31">
        <v>11.7646465301513</v>
      </c>
    </row>
    <row r="32" spans="1:13" x14ac:dyDescent="0.2">
      <c r="A32" t="s">
        <v>8</v>
      </c>
      <c r="B32">
        <v>2030</v>
      </c>
      <c r="C32">
        <v>2034</v>
      </c>
      <c r="D32">
        <v>9.7958154678344709</v>
      </c>
      <c r="E32">
        <v>8.2781438827514595</v>
      </c>
      <c r="F32">
        <v>12.349493980407701</v>
      </c>
    </row>
    <row r="33" spans="1:6" x14ac:dyDescent="0.2">
      <c r="A33" t="s">
        <v>8</v>
      </c>
      <c r="B33">
        <v>2035</v>
      </c>
      <c r="C33">
        <v>2039</v>
      </c>
      <c r="D33">
        <v>9.8663330078125</v>
      </c>
      <c r="E33">
        <v>8.3208274841308594</v>
      </c>
      <c r="F33">
        <v>12.4363260269165</v>
      </c>
    </row>
    <row r="34" spans="1:6" x14ac:dyDescent="0.2">
      <c r="A34" t="s">
        <v>8</v>
      </c>
      <c r="B34">
        <v>2040</v>
      </c>
      <c r="C34">
        <v>2044</v>
      </c>
      <c r="D34">
        <v>9.69219875335693</v>
      </c>
      <c r="E34">
        <v>8.1503992080688406</v>
      </c>
      <c r="F34">
        <v>12.265027046203601</v>
      </c>
    </row>
    <row r="35" spans="1:6" x14ac:dyDescent="0.2">
      <c r="A35" t="s">
        <v>8</v>
      </c>
      <c r="B35">
        <v>2045</v>
      </c>
      <c r="C35">
        <v>2049</v>
      </c>
      <c r="D35">
        <v>10.255911827087401</v>
      </c>
      <c r="E35">
        <v>8.6582355499267507</v>
      </c>
      <c r="F35">
        <v>12.9179592132568</v>
      </c>
    </row>
    <row r="36" spans="1:6" x14ac:dyDescent="0.2">
      <c r="A36" t="s">
        <v>8</v>
      </c>
      <c r="B36">
        <v>2050</v>
      </c>
      <c r="C36">
        <v>2054</v>
      </c>
      <c r="D36">
        <v>10.1051874160766</v>
      </c>
      <c r="E36">
        <v>8.29036140441894</v>
      </c>
      <c r="F36">
        <v>13.108048439025801</v>
      </c>
    </row>
    <row r="37" spans="1:6" x14ac:dyDescent="0.2">
      <c r="A37" t="s">
        <v>8</v>
      </c>
      <c r="B37">
        <v>2055</v>
      </c>
      <c r="C37">
        <v>2059</v>
      </c>
      <c r="D37">
        <v>9.9547357559204102</v>
      </c>
      <c r="E37">
        <v>8.19140625</v>
      </c>
      <c r="F37">
        <v>12.8268318176269</v>
      </c>
    </row>
    <row r="38" spans="1:6" x14ac:dyDescent="0.2">
      <c r="A38" t="s">
        <v>8</v>
      </c>
      <c r="B38">
        <v>2060</v>
      </c>
      <c r="C38">
        <v>2064</v>
      </c>
      <c r="D38">
        <v>10.5531148910522</v>
      </c>
      <c r="E38">
        <v>8.7963886260986293</v>
      </c>
      <c r="F38">
        <v>13.463141441345201</v>
      </c>
    </row>
    <row r="39" spans="1:6" x14ac:dyDescent="0.2">
      <c r="A39" t="s">
        <v>8</v>
      </c>
      <c r="B39">
        <v>2065</v>
      </c>
      <c r="C39">
        <v>2069</v>
      </c>
      <c r="D39">
        <v>10.8001899719238</v>
      </c>
      <c r="E39">
        <v>8.9766626358032209</v>
      </c>
      <c r="F39">
        <v>13.822449684143001</v>
      </c>
    </row>
    <row r="40" spans="1:6" x14ac:dyDescent="0.2">
      <c r="A40" t="s">
        <v>8</v>
      </c>
      <c r="B40">
        <v>2070</v>
      </c>
      <c r="C40">
        <v>2074</v>
      </c>
      <c r="D40">
        <v>10.7594137191772</v>
      </c>
      <c r="E40">
        <v>8.8955059051513601</v>
      </c>
      <c r="F40">
        <v>13.874716758728001</v>
      </c>
    </row>
    <row r="41" spans="1:6" x14ac:dyDescent="0.2">
      <c r="A41" t="s">
        <v>8</v>
      </c>
      <c r="B41">
        <v>2075</v>
      </c>
      <c r="C41">
        <v>2079</v>
      </c>
      <c r="D41">
        <v>10.6392345428466</v>
      </c>
      <c r="E41">
        <v>8.8706798553466797</v>
      </c>
      <c r="F41">
        <v>13.5667457580566</v>
      </c>
    </row>
    <row r="42" spans="1:6" x14ac:dyDescent="0.2">
      <c r="A42" t="s">
        <v>8</v>
      </c>
      <c r="B42">
        <v>2080</v>
      </c>
      <c r="C42">
        <v>2084</v>
      </c>
      <c r="D42">
        <v>10.987825393676699</v>
      </c>
      <c r="E42">
        <v>9.3014869689941406</v>
      </c>
      <c r="F42">
        <v>13.792166709899901</v>
      </c>
    </row>
    <row r="43" spans="1:6" x14ac:dyDescent="0.2">
      <c r="A43" t="s">
        <v>8</v>
      </c>
      <c r="B43">
        <v>2085</v>
      </c>
      <c r="C43">
        <v>2089</v>
      </c>
      <c r="D43">
        <v>11.480695724487299</v>
      </c>
      <c r="E43">
        <v>9.7563009262084908</v>
      </c>
      <c r="F43">
        <v>14.330831527709901</v>
      </c>
    </row>
    <row r="44" spans="1:6" x14ac:dyDescent="0.2">
      <c r="A44" t="s">
        <v>8</v>
      </c>
      <c r="B44">
        <v>2090</v>
      </c>
      <c r="C44">
        <v>2094</v>
      </c>
      <c r="D44">
        <v>11.7549848556518</v>
      </c>
      <c r="E44">
        <v>9.7580423355102504</v>
      </c>
      <c r="F44">
        <v>15.1060571670532</v>
      </c>
    </row>
    <row r="45" spans="1:6" x14ac:dyDescent="0.2">
      <c r="A45" t="s">
        <v>8</v>
      </c>
      <c r="B45">
        <v>2095</v>
      </c>
      <c r="C45">
        <v>2099</v>
      </c>
      <c r="D45">
        <v>11.833848953246999</v>
      </c>
      <c r="E45">
        <v>9.9765815734863192</v>
      </c>
      <c r="F45">
        <v>14.9206476211547</v>
      </c>
    </row>
    <row r="46" spans="1:6" x14ac:dyDescent="0.2">
      <c r="A46" t="s">
        <v>9</v>
      </c>
      <c r="B46">
        <v>1990</v>
      </c>
      <c r="C46">
        <v>1994</v>
      </c>
      <c r="D46">
        <v>9.4721584320068306</v>
      </c>
      <c r="E46">
        <v>8.0976438522338796</v>
      </c>
      <c r="F46">
        <v>12.51704788208</v>
      </c>
    </row>
    <row r="47" spans="1:6" x14ac:dyDescent="0.2">
      <c r="A47" t="s">
        <v>9</v>
      </c>
      <c r="B47">
        <v>1995</v>
      </c>
      <c r="C47">
        <v>1999</v>
      </c>
      <c r="D47">
        <v>10.3925065994262</v>
      </c>
      <c r="E47">
        <v>8.8860263824462802</v>
      </c>
      <c r="F47">
        <v>13.757518768310501</v>
      </c>
    </row>
    <row r="48" spans="1:6" x14ac:dyDescent="0.2">
      <c r="A48" t="s">
        <v>9</v>
      </c>
      <c r="B48">
        <v>2000</v>
      </c>
      <c r="C48">
        <v>2004</v>
      </c>
      <c r="D48">
        <v>10.4610328674316</v>
      </c>
      <c r="E48">
        <v>8.8301248550415004</v>
      </c>
      <c r="F48">
        <v>14.078878402709901</v>
      </c>
    </row>
    <row r="49" spans="1:6" x14ac:dyDescent="0.2">
      <c r="A49" t="s">
        <v>9</v>
      </c>
      <c r="B49">
        <v>2005</v>
      </c>
      <c r="C49">
        <v>2009</v>
      </c>
      <c r="D49">
        <v>10.499066352844199</v>
      </c>
      <c r="E49">
        <v>9.05909824371337</v>
      </c>
      <c r="F49">
        <v>13.718923568725501</v>
      </c>
    </row>
    <row r="50" spans="1:6" x14ac:dyDescent="0.2">
      <c r="A50" t="s">
        <v>9</v>
      </c>
      <c r="B50">
        <v>2010</v>
      </c>
      <c r="C50">
        <v>2014</v>
      </c>
      <c r="D50">
        <v>10.976121902465801</v>
      </c>
      <c r="E50">
        <v>9.3881349563598597</v>
      </c>
      <c r="F50">
        <v>14.4894304275512</v>
      </c>
    </row>
    <row r="51" spans="1:6" x14ac:dyDescent="0.2">
      <c r="A51" t="s">
        <v>9</v>
      </c>
      <c r="B51">
        <v>2015</v>
      </c>
      <c r="C51">
        <v>2019</v>
      </c>
      <c r="D51">
        <v>10.2975807189941</v>
      </c>
      <c r="E51">
        <v>8.8364725112915004</v>
      </c>
      <c r="F51">
        <v>13.5250597000122</v>
      </c>
    </row>
    <row r="52" spans="1:6" x14ac:dyDescent="0.2">
      <c r="A52" t="s">
        <v>9</v>
      </c>
      <c r="B52">
        <v>2020</v>
      </c>
      <c r="C52">
        <v>2024</v>
      </c>
      <c r="D52">
        <v>10.6893501281738</v>
      </c>
      <c r="E52">
        <v>9.0949363708496094</v>
      </c>
      <c r="F52">
        <v>14.251923561096101</v>
      </c>
    </row>
    <row r="53" spans="1:6" x14ac:dyDescent="0.2">
      <c r="A53" t="s">
        <v>9</v>
      </c>
      <c r="B53">
        <v>2025</v>
      </c>
      <c r="C53">
        <v>2029</v>
      </c>
      <c r="D53">
        <v>11.162336349487299</v>
      </c>
      <c r="E53">
        <v>9.5757093429565394</v>
      </c>
      <c r="F53">
        <v>14.6982431411743</v>
      </c>
    </row>
    <row r="54" spans="1:6" x14ac:dyDescent="0.2">
      <c r="A54" t="s">
        <v>9</v>
      </c>
      <c r="B54">
        <v>2030</v>
      </c>
      <c r="C54">
        <v>2034</v>
      </c>
      <c r="D54">
        <v>10.8203134536743</v>
      </c>
      <c r="E54">
        <v>9.2428789138793892</v>
      </c>
      <c r="F54">
        <v>14.3400449752807</v>
      </c>
    </row>
    <row r="55" spans="1:6" x14ac:dyDescent="0.2">
      <c r="A55" t="s">
        <v>9</v>
      </c>
      <c r="B55">
        <v>2035</v>
      </c>
      <c r="C55">
        <v>2039</v>
      </c>
      <c r="D55">
        <v>11.193701744079499</v>
      </c>
      <c r="E55">
        <v>9.7432575225830007</v>
      </c>
      <c r="F55">
        <v>14.4437294006347</v>
      </c>
    </row>
    <row r="56" spans="1:6" x14ac:dyDescent="0.2">
      <c r="A56" t="s">
        <v>9</v>
      </c>
      <c r="B56">
        <v>2040</v>
      </c>
      <c r="C56">
        <v>2044</v>
      </c>
      <c r="D56">
        <v>10.9765119552612</v>
      </c>
      <c r="E56">
        <v>9.4345722198486293</v>
      </c>
      <c r="F56">
        <v>14.39400100708</v>
      </c>
    </row>
    <row r="57" spans="1:6" x14ac:dyDescent="0.2">
      <c r="A57" t="s">
        <v>9</v>
      </c>
      <c r="B57">
        <v>2045</v>
      </c>
      <c r="C57">
        <v>2049</v>
      </c>
      <c r="D57">
        <v>11.6731452941894</v>
      </c>
      <c r="E57">
        <v>10.0744476318359</v>
      </c>
      <c r="F57">
        <v>15.2459602355957</v>
      </c>
    </row>
    <row r="58" spans="1:6" x14ac:dyDescent="0.2">
      <c r="A58" t="s">
        <v>9</v>
      </c>
      <c r="B58">
        <v>2050</v>
      </c>
      <c r="C58">
        <v>2054</v>
      </c>
      <c r="D58">
        <v>11.124761581420801</v>
      </c>
      <c r="E58">
        <v>9.5120391845703107</v>
      </c>
      <c r="F58">
        <v>14.712205886840801</v>
      </c>
    </row>
    <row r="59" spans="1:6" x14ac:dyDescent="0.2">
      <c r="A59" t="s">
        <v>9</v>
      </c>
      <c r="B59">
        <v>2055</v>
      </c>
      <c r="C59">
        <v>2059</v>
      </c>
      <c r="D59">
        <v>11.326392173766999</v>
      </c>
      <c r="E59">
        <v>9.7978019714355398</v>
      </c>
      <c r="F59">
        <v>14.744005203246999</v>
      </c>
    </row>
    <row r="60" spans="1:6" x14ac:dyDescent="0.2">
      <c r="A60" t="s">
        <v>9</v>
      </c>
      <c r="B60">
        <v>2060</v>
      </c>
      <c r="C60">
        <v>2064</v>
      </c>
      <c r="D60">
        <v>11.3919067382812</v>
      </c>
      <c r="E60">
        <v>9.9358148574829102</v>
      </c>
      <c r="F60">
        <v>14.6404514312744</v>
      </c>
    </row>
    <row r="61" spans="1:6" x14ac:dyDescent="0.2">
      <c r="A61" t="s">
        <v>9</v>
      </c>
      <c r="B61">
        <v>2065</v>
      </c>
      <c r="C61">
        <v>2069</v>
      </c>
      <c r="D61">
        <v>11.7700386047363</v>
      </c>
      <c r="E61">
        <v>10.022158622741699</v>
      </c>
      <c r="F61">
        <v>15.6539392471313</v>
      </c>
    </row>
    <row r="62" spans="1:6" x14ac:dyDescent="0.2">
      <c r="A62" t="s">
        <v>9</v>
      </c>
      <c r="B62">
        <v>2070</v>
      </c>
      <c r="C62">
        <v>2074</v>
      </c>
      <c r="D62">
        <v>11.988190650939901</v>
      </c>
      <c r="E62">
        <v>10.3083696365356</v>
      </c>
      <c r="F62">
        <v>15.748638153076101</v>
      </c>
    </row>
    <row r="63" spans="1:6" x14ac:dyDescent="0.2">
      <c r="A63" t="s">
        <v>9</v>
      </c>
      <c r="B63">
        <v>2075</v>
      </c>
      <c r="C63">
        <v>2079</v>
      </c>
      <c r="D63">
        <v>12.0456476211547</v>
      </c>
      <c r="E63">
        <v>10.533310890197701</v>
      </c>
      <c r="F63">
        <v>15.4433994293212</v>
      </c>
    </row>
    <row r="64" spans="1:6" x14ac:dyDescent="0.2">
      <c r="A64" t="s">
        <v>9</v>
      </c>
      <c r="B64">
        <v>2080</v>
      </c>
      <c r="C64">
        <v>2084</v>
      </c>
      <c r="D64">
        <v>11.944585800170801</v>
      </c>
      <c r="E64">
        <v>10.3389902114868</v>
      </c>
      <c r="F64">
        <v>15.511639595031699</v>
      </c>
    </row>
    <row r="65" spans="1:6" x14ac:dyDescent="0.2">
      <c r="A65" t="s">
        <v>9</v>
      </c>
      <c r="B65">
        <v>2085</v>
      </c>
      <c r="C65">
        <v>2089</v>
      </c>
      <c r="D65">
        <v>12.725119590759199</v>
      </c>
      <c r="E65">
        <v>10.9680919647216</v>
      </c>
      <c r="F65">
        <v>16.651283264160099</v>
      </c>
    </row>
    <row r="66" spans="1:6" x14ac:dyDescent="0.2">
      <c r="A66" t="s">
        <v>9</v>
      </c>
      <c r="B66">
        <v>2090</v>
      </c>
      <c r="C66">
        <v>2094</v>
      </c>
      <c r="D66">
        <v>13.0554180145263</v>
      </c>
      <c r="E66">
        <v>11.2062969207763</v>
      </c>
      <c r="F66">
        <v>17.209178924560501</v>
      </c>
    </row>
    <row r="67" spans="1:6" x14ac:dyDescent="0.2">
      <c r="A67" t="s">
        <v>9</v>
      </c>
      <c r="B67">
        <v>2095</v>
      </c>
      <c r="C67">
        <v>2099</v>
      </c>
      <c r="D67">
        <v>13.4245176315307</v>
      </c>
      <c r="E67">
        <v>11.6307916641235</v>
      </c>
      <c r="F67">
        <v>17.430425643920898</v>
      </c>
    </row>
    <row r="68" spans="1:6" x14ac:dyDescent="0.2">
      <c r="A68" t="s">
        <v>10</v>
      </c>
      <c r="B68">
        <v>1990</v>
      </c>
      <c r="C68">
        <v>1994</v>
      </c>
      <c r="D68">
        <v>9.29498195648193</v>
      </c>
      <c r="E68">
        <v>7.9654622077941797</v>
      </c>
      <c r="F68">
        <v>12.243062973022401</v>
      </c>
    </row>
    <row r="69" spans="1:6" x14ac:dyDescent="0.2">
      <c r="A69" t="s">
        <v>10</v>
      </c>
      <c r="B69">
        <v>1995</v>
      </c>
      <c r="C69">
        <v>1999</v>
      </c>
      <c r="D69">
        <v>10.0800437927246</v>
      </c>
      <c r="E69">
        <v>8.5688114166259695</v>
      </c>
      <c r="F69">
        <v>13.4529504776</v>
      </c>
    </row>
    <row r="70" spans="1:6" x14ac:dyDescent="0.2">
      <c r="A70" t="s">
        <v>10</v>
      </c>
      <c r="B70">
        <v>2000</v>
      </c>
      <c r="C70">
        <v>2004</v>
      </c>
      <c r="D70">
        <v>10.397865295410099</v>
      </c>
      <c r="E70">
        <v>8.895263671875</v>
      </c>
      <c r="F70">
        <v>13.7449932098388</v>
      </c>
    </row>
    <row r="71" spans="1:6" x14ac:dyDescent="0.2">
      <c r="A71" t="s">
        <v>10</v>
      </c>
      <c r="B71">
        <v>2005</v>
      </c>
      <c r="C71">
        <v>2009</v>
      </c>
      <c r="D71">
        <v>10.0091342926025</v>
      </c>
      <c r="E71">
        <v>8.5333709716796804</v>
      </c>
      <c r="F71">
        <v>13.259176254272401</v>
      </c>
    </row>
    <row r="72" spans="1:6" x14ac:dyDescent="0.2">
      <c r="A72" t="s">
        <v>10</v>
      </c>
      <c r="B72">
        <v>2010</v>
      </c>
      <c r="C72">
        <v>2014</v>
      </c>
      <c r="D72">
        <v>10.184755325317299</v>
      </c>
      <c r="E72">
        <v>8.6353101730346609</v>
      </c>
      <c r="F72">
        <v>13.6237745285034</v>
      </c>
    </row>
    <row r="73" spans="1:6" x14ac:dyDescent="0.2">
      <c r="A73" t="s">
        <v>10</v>
      </c>
      <c r="B73">
        <v>2015</v>
      </c>
      <c r="C73">
        <v>2019</v>
      </c>
      <c r="D73">
        <v>10.522473335266101</v>
      </c>
      <c r="E73">
        <v>9.0868196487426705</v>
      </c>
      <c r="F73">
        <v>13.718425750732401</v>
      </c>
    </row>
    <row r="74" spans="1:6" x14ac:dyDescent="0.2">
      <c r="A74" t="s">
        <v>10</v>
      </c>
      <c r="B74">
        <v>2020</v>
      </c>
      <c r="C74">
        <v>2024</v>
      </c>
      <c r="D74">
        <v>10.347858428955</v>
      </c>
      <c r="E74">
        <v>8.9326715469360298</v>
      </c>
      <c r="F74">
        <v>13.5531778335571</v>
      </c>
    </row>
    <row r="75" spans="1:6" x14ac:dyDescent="0.2">
      <c r="A75" t="s">
        <v>10</v>
      </c>
      <c r="B75">
        <v>2025</v>
      </c>
      <c r="C75">
        <v>2029</v>
      </c>
      <c r="D75">
        <v>10.4707069396972</v>
      </c>
      <c r="E75">
        <v>8.9777708053588796</v>
      </c>
      <c r="F75">
        <v>13.8055152893066</v>
      </c>
    </row>
    <row r="76" spans="1:6" x14ac:dyDescent="0.2">
      <c r="A76" t="s">
        <v>10</v>
      </c>
      <c r="B76">
        <v>2030</v>
      </c>
      <c r="C76">
        <v>2034</v>
      </c>
      <c r="D76">
        <v>10.374563217163001</v>
      </c>
      <c r="E76">
        <v>8.9844102859496999</v>
      </c>
      <c r="F76">
        <v>13.5219402313232</v>
      </c>
    </row>
    <row r="77" spans="1:6" x14ac:dyDescent="0.2">
      <c r="A77" t="s">
        <v>10</v>
      </c>
      <c r="B77">
        <v>2035</v>
      </c>
      <c r="C77">
        <v>2039</v>
      </c>
      <c r="D77">
        <v>10.736981391906699</v>
      </c>
      <c r="E77">
        <v>9.2915382385253906</v>
      </c>
      <c r="F77">
        <v>13.9311981201171</v>
      </c>
    </row>
    <row r="78" spans="1:6" x14ac:dyDescent="0.2">
      <c r="A78" t="s">
        <v>10</v>
      </c>
      <c r="B78">
        <v>2040</v>
      </c>
      <c r="C78">
        <v>2044</v>
      </c>
      <c r="D78">
        <v>11.449749946594199</v>
      </c>
      <c r="E78">
        <v>9.9205207824706996</v>
      </c>
      <c r="F78">
        <v>14.903697013854901</v>
      </c>
    </row>
    <row r="79" spans="1:6" x14ac:dyDescent="0.2">
      <c r="A79" t="s">
        <v>10</v>
      </c>
      <c r="B79">
        <v>2045</v>
      </c>
      <c r="C79">
        <v>2049</v>
      </c>
      <c r="D79">
        <v>11.450222969055099</v>
      </c>
      <c r="E79">
        <v>9.7179708480834908</v>
      </c>
      <c r="F79">
        <v>15.3251419067382</v>
      </c>
    </row>
    <row r="80" spans="1:6" x14ac:dyDescent="0.2">
      <c r="A80" t="s">
        <v>10</v>
      </c>
      <c r="B80">
        <v>2050</v>
      </c>
      <c r="C80">
        <v>2054</v>
      </c>
      <c r="D80">
        <v>11.342074394226</v>
      </c>
      <c r="E80">
        <v>9.7677516937255806</v>
      </c>
      <c r="F80">
        <v>14.838253974914499</v>
      </c>
    </row>
    <row r="81" spans="1:6" x14ac:dyDescent="0.2">
      <c r="A81" t="s">
        <v>10</v>
      </c>
      <c r="B81">
        <v>2055</v>
      </c>
      <c r="C81">
        <v>2059</v>
      </c>
      <c r="D81">
        <v>12.417761802673301</v>
      </c>
      <c r="E81">
        <v>10.7560672760009</v>
      </c>
      <c r="F81">
        <v>16.182315826416001</v>
      </c>
    </row>
    <row r="82" spans="1:6" x14ac:dyDescent="0.2">
      <c r="A82" t="s">
        <v>10</v>
      </c>
      <c r="B82">
        <v>2060</v>
      </c>
      <c r="C82">
        <v>2064</v>
      </c>
      <c r="D82">
        <v>11.5460042953491</v>
      </c>
      <c r="E82">
        <v>9.9648160934448207</v>
      </c>
      <c r="F82">
        <v>15.1049184799194</v>
      </c>
    </row>
    <row r="83" spans="1:6" x14ac:dyDescent="0.2">
      <c r="A83" t="s">
        <v>10</v>
      </c>
      <c r="B83">
        <v>2065</v>
      </c>
      <c r="C83">
        <v>2069</v>
      </c>
      <c r="D83">
        <v>11.5918312072753</v>
      </c>
      <c r="E83">
        <v>9.8452501296996999</v>
      </c>
      <c r="F83">
        <v>15.4407958984375</v>
      </c>
    </row>
    <row r="84" spans="1:6" x14ac:dyDescent="0.2">
      <c r="A84" t="s">
        <v>10</v>
      </c>
      <c r="B84">
        <v>2070</v>
      </c>
      <c r="C84">
        <v>2074</v>
      </c>
      <c r="D84">
        <v>13.2423810958862</v>
      </c>
      <c r="E84">
        <v>11.6576290130615</v>
      </c>
      <c r="F84">
        <v>16.946937561035099</v>
      </c>
    </row>
    <row r="85" spans="1:6" x14ac:dyDescent="0.2">
      <c r="A85" t="s">
        <v>10</v>
      </c>
      <c r="B85">
        <v>2075</v>
      </c>
      <c r="C85">
        <v>2079</v>
      </c>
      <c r="D85">
        <v>12.328417778015099</v>
      </c>
      <c r="E85">
        <v>10.686251640319799</v>
      </c>
      <c r="F85">
        <v>16.0395812988281</v>
      </c>
    </row>
    <row r="86" spans="1:6" x14ac:dyDescent="0.2">
      <c r="A86" t="s">
        <v>10</v>
      </c>
      <c r="B86">
        <v>2080</v>
      </c>
      <c r="C86">
        <v>2084</v>
      </c>
      <c r="D86">
        <v>12.027367591857899</v>
      </c>
      <c r="E86">
        <v>10.328829765319799</v>
      </c>
      <c r="F86">
        <v>15.836855888366699</v>
      </c>
    </row>
    <row r="87" spans="1:6" x14ac:dyDescent="0.2">
      <c r="A87" t="s">
        <v>10</v>
      </c>
      <c r="B87">
        <v>2085</v>
      </c>
      <c r="C87">
        <v>2089</v>
      </c>
      <c r="D87">
        <v>12.7729940414428</v>
      </c>
      <c r="E87">
        <v>10.962581634521401</v>
      </c>
      <c r="F87">
        <v>16.859563827514599</v>
      </c>
    </row>
    <row r="88" spans="1:6" x14ac:dyDescent="0.2">
      <c r="A88" t="s">
        <v>10</v>
      </c>
      <c r="B88">
        <v>2090</v>
      </c>
      <c r="C88">
        <v>2094</v>
      </c>
      <c r="D88">
        <v>13.158362388610801</v>
      </c>
      <c r="E88">
        <v>11.406551361083901</v>
      </c>
      <c r="F88">
        <v>17.1021423339843</v>
      </c>
    </row>
    <row r="89" spans="1:6" x14ac:dyDescent="0.2">
      <c r="A89" t="s">
        <v>10</v>
      </c>
      <c r="B89">
        <v>2095</v>
      </c>
      <c r="C89">
        <v>2099</v>
      </c>
      <c r="D89">
        <v>12.6711893081665</v>
      </c>
      <c r="E89">
        <v>10.8449611663818</v>
      </c>
      <c r="F89">
        <v>16.754335403442301</v>
      </c>
    </row>
    <row r="90" spans="1:6" x14ac:dyDescent="0.2">
      <c r="A90" t="s">
        <v>11</v>
      </c>
      <c r="B90">
        <v>1990</v>
      </c>
      <c r="C90">
        <v>1994</v>
      </c>
      <c r="D90">
        <v>8.91900539398193</v>
      </c>
      <c r="E90">
        <v>7.5576796531677202</v>
      </c>
      <c r="F90">
        <v>11.926485061645501</v>
      </c>
    </row>
    <row r="91" spans="1:6" x14ac:dyDescent="0.2">
      <c r="A91" t="s">
        <v>11</v>
      </c>
      <c r="B91">
        <v>1995</v>
      </c>
      <c r="C91">
        <v>1999</v>
      </c>
      <c r="D91">
        <v>9.5092477798461896</v>
      </c>
      <c r="E91">
        <v>8.0874557495117099</v>
      </c>
      <c r="F91">
        <v>12.683373451232899</v>
      </c>
    </row>
    <row r="92" spans="1:6" x14ac:dyDescent="0.2">
      <c r="A92" t="s">
        <v>11</v>
      </c>
      <c r="B92">
        <v>2000</v>
      </c>
      <c r="C92">
        <v>2004</v>
      </c>
      <c r="D92">
        <v>9.8412857055663991</v>
      </c>
      <c r="E92">
        <v>8.3654899597167898</v>
      </c>
      <c r="F92">
        <v>13.111222267150801</v>
      </c>
    </row>
    <row r="93" spans="1:6" x14ac:dyDescent="0.2">
      <c r="A93" t="s">
        <v>11</v>
      </c>
      <c r="B93">
        <v>2005</v>
      </c>
      <c r="C93">
        <v>2009</v>
      </c>
      <c r="D93">
        <v>9.4971446990966797</v>
      </c>
      <c r="E93">
        <v>8.1138010025024396</v>
      </c>
      <c r="F93">
        <v>12.541277885436999</v>
      </c>
    </row>
    <row r="94" spans="1:6" x14ac:dyDescent="0.2">
      <c r="A94" t="s">
        <v>11</v>
      </c>
      <c r="B94">
        <v>2010</v>
      </c>
      <c r="C94">
        <v>2014</v>
      </c>
      <c r="D94">
        <v>9.5079278945922798</v>
      </c>
      <c r="E94">
        <v>8.1324949264526296</v>
      </c>
      <c r="F94">
        <v>12.54550075531</v>
      </c>
    </row>
    <row r="95" spans="1:6" x14ac:dyDescent="0.2">
      <c r="A95" t="s">
        <v>11</v>
      </c>
      <c r="B95">
        <v>2015</v>
      </c>
      <c r="C95">
        <v>2019</v>
      </c>
      <c r="D95">
        <v>9.4573450088500906</v>
      </c>
      <c r="E95">
        <v>8.0541238784790004</v>
      </c>
      <c r="F95">
        <v>12.573280334472599</v>
      </c>
    </row>
    <row r="96" spans="1:6" x14ac:dyDescent="0.2">
      <c r="A96" t="s">
        <v>11</v>
      </c>
      <c r="B96">
        <v>2020</v>
      </c>
      <c r="C96">
        <v>2024</v>
      </c>
      <c r="D96">
        <v>9.5452842712402308</v>
      </c>
      <c r="E96">
        <v>8.1489009857177699</v>
      </c>
      <c r="F96">
        <v>12.6612634658813</v>
      </c>
    </row>
    <row r="97" spans="1:6" x14ac:dyDescent="0.2">
      <c r="A97" t="s">
        <v>11</v>
      </c>
      <c r="B97">
        <v>2025</v>
      </c>
      <c r="C97">
        <v>2029</v>
      </c>
      <c r="D97">
        <v>9.8037614822387695</v>
      </c>
      <c r="E97">
        <v>8.2566852569580007</v>
      </c>
      <c r="F97">
        <v>13.228980064391999</v>
      </c>
    </row>
    <row r="98" spans="1:6" x14ac:dyDescent="0.2">
      <c r="A98" t="s">
        <v>11</v>
      </c>
      <c r="B98">
        <v>2030</v>
      </c>
      <c r="C98">
        <v>2034</v>
      </c>
      <c r="D98">
        <v>9.9199047088622994</v>
      </c>
      <c r="E98">
        <v>8.5645933151245099</v>
      </c>
      <c r="F98">
        <v>12.9392833709716</v>
      </c>
    </row>
    <row r="99" spans="1:6" x14ac:dyDescent="0.2">
      <c r="A99" t="s">
        <v>11</v>
      </c>
      <c r="B99">
        <v>2035</v>
      </c>
      <c r="C99">
        <v>2039</v>
      </c>
      <c r="D99">
        <v>9.6618547439575195</v>
      </c>
      <c r="E99">
        <v>8.1916732788085902</v>
      </c>
      <c r="F99">
        <v>12.9354581832885</v>
      </c>
    </row>
    <row r="100" spans="1:6" x14ac:dyDescent="0.2">
      <c r="A100" t="s">
        <v>11</v>
      </c>
      <c r="B100">
        <v>2040</v>
      </c>
      <c r="C100">
        <v>2044</v>
      </c>
      <c r="D100">
        <v>10.2974996566772</v>
      </c>
      <c r="E100">
        <v>8.8511009216308594</v>
      </c>
      <c r="F100">
        <v>13.483145713806101</v>
      </c>
    </row>
    <row r="101" spans="1:6" x14ac:dyDescent="0.2">
      <c r="A101" t="s">
        <v>11</v>
      </c>
      <c r="B101">
        <v>2045</v>
      </c>
      <c r="C101">
        <v>2049</v>
      </c>
      <c r="D101">
        <v>10.6638641357421</v>
      </c>
      <c r="E101">
        <v>9.0712337493896396</v>
      </c>
      <c r="F101">
        <v>14.1632089614868</v>
      </c>
    </row>
    <row r="102" spans="1:6" x14ac:dyDescent="0.2">
      <c r="A102" t="s">
        <v>11</v>
      </c>
      <c r="B102">
        <v>2050</v>
      </c>
      <c r="C102">
        <v>2054</v>
      </c>
      <c r="D102">
        <v>10.7223958969116</v>
      </c>
      <c r="E102">
        <v>9.1398715972900302</v>
      </c>
      <c r="F102">
        <v>14.2182111740112</v>
      </c>
    </row>
    <row r="103" spans="1:6" x14ac:dyDescent="0.2">
      <c r="A103" t="s">
        <v>11</v>
      </c>
      <c r="B103">
        <v>2055</v>
      </c>
      <c r="C103">
        <v>2059</v>
      </c>
      <c r="D103">
        <v>10.892192840576101</v>
      </c>
      <c r="E103">
        <v>9.4836196899413991</v>
      </c>
      <c r="F103">
        <v>14.052831649780201</v>
      </c>
    </row>
    <row r="104" spans="1:6" x14ac:dyDescent="0.2">
      <c r="A104" t="s">
        <v>11</v>
      </c>
      <c r="B104">
        <v>2060</v>
      </c>
      <c r="C104">
        <v>2064</v>
      </c>
      <c r="D104">
        <v>11.218188285827599</v>
      </c>
      <c r="E104">
        <v>9.4899997711181605</v>
      </c>
      <c r="F104">
        <v>15.0684061050415</v>
      </c>
    </row>
    <row r="105" spans="1:6" x14ac:dyDescent="0.2">
      <c r="A105" t="s">
        <v>11</v>
      </c>
      <c r="B105">
        <v>2065</v>
      </c>
      <c r="C105">
        <v>2069</v>
      </c>
      <c r="D105">
        <v>11.6794881820678</v>
      </c>
      <c r="E105">
        <v>10.240256309509199</v>
      </c>
      <c r="F105">
        <v>14.8648834228515</v>
      </c>
    </row>
    <row r="106" spans="1:6" x14ac:dyDescent="0.2">
      <c r="A106" t="s">
        <v>11</v>
      </c>
      <c r="B106">
        <v>2070</v>
      </c>
      <c r="C106">
        <v>2074</v>
      </c>
      <c r="D106">
        <v>11.1302232742309</v>
      </c>
      <c r="E106">
        <v>9.4926366806030202</v>
      </c>
      <c r="F106">
        <v>14.7552337646484</v>
      </c>
    </row>
    <row r="107" spans="1:6" x14ac:dyDescent="0.2">
      <c r="A107" t="s">
        <v>11</v>
      </c>
      <c r="B107">
        <v>2075</v>
      </c>
      <c r="C107">
        <v>2079</v>
      </c>
      <c r="D107">
        <v>12.3174886703491</v>
      </c>
      <c r="E107">
        <v>10.480736732482899</v>
      </c>
      <c r="F107">
        <v>16.3727111816406</v>
      </c>
    </row>
    <row r="108" spans="1:6" x14ac:dyDescent="0.2">
      <c r="A108" t="s">
        <v>11</v>
      </c>
      <c r="B108">
        <v>2080</v>
      </c>
      <c r="C108">
        <v>2084</v>
      </c>
      <c r="D108">
        <v>12.402324676513601</v>
      </c>
      <c r="E108">
        <v>10.8047285079956</v>
      </c>
      <c r="F108">
        <v>16.034132003784102</v>
      </c>
    </row>
    <row r="109" spans="1:6" x14ac:dyDescent="0.2">
      <c r="A109" t="s">
        <v>11</v>
      </c>
      <c r="B109">
        <v>2085</v>
      </c>
      <c r="C109">
        <v>2089</v>
      </c>
      <c r="D109">
        <v>12.0679712295532</v>
      </c>
      <c r="E109">
        <v>10.3267965316772</v>
      </c>
      <c r="F109">
        <v>16.009946823120099</v>
      </c>
    </row>
    <row r="110" spans="1:6" x14ac:dyDescent="0.2">
      <c r="A110" t="s">
        <v>11</v>
      </c>
      <c r="B110">
        <v>2090</v>
      </c>
      <c r="C110">
        <v>2094</v>
      </c>
      <c r="D110">
        <v>13.0821332931518</v>
      </c>
      <c r="E110">
        <v>11.262351036071699</v>
      </c>
      <c r="F110">
        <v>17.1206855773925</v>
      </c>
    </row>
    <row r="111" spans="1:6" x14ac:dyDescent="0.2">
      <c r="A111" t="s">
        <v>11</v>
      </c>
      <c r="B111">
        <v>2095</v>
      </c>
      <c r="C111">
        <v>2099</v>
      </c>
      <c r="D111">
        <v>13.1563806533813</v>
      </c>
      <c r="E111">
        <v>11.283219337463301</v>
      </c>
      <c r="F111">
        <v>17.327508926391602</v>
      </c>
    </row>
    <row r="112" spans="1:6" x14ac:dyDescent="0.2">
      <c r="A112" t="s">
        <v>12</v>
      </c>
      <c r="B112">
        <v>1990</v>
      </c>
      <c r="C112">
        <v>1994</v>
      </c>
      <c r="D112">
        <v>8.7900686264037997</v>
      </c>
      <c r="E112">
        <v>6.8006529808044398</v>
      </c>
      <c r="F112">
        <v>11.996665954589799</v>
      </c>
    </row>
    <row r="113" spans="1:6" x14ac:dyDescent="0.2">
      <c r="A113" t="s">
        <v>12</v>
      </c>
      <c r="B113">
        <v>1995</v>
      </c>
      <c r="C113">
        <v>1999</v>
      </c>
      <c r="D113">
        <v>9.3708505630493093</v>
      </c>
      <c r="E113">
        <v>7.3112163543701101</v>
      </c>
      <c r="F113">
        <v>12.708685874938899</v>
      </c>
    </row>
    <row r="114" spans="1:6" x14ac:dyDescent="0.2">
      <c r="A114" t="s">
        <v>12</v>
      </c>
      <c r="B114">
        <v>2000</v>
      </c>
      <c r="C114">
        <v>2004</v>
      </c>
      <c r="D114">
        <v>9.4044752120971609</v>
      </c>
      <c r="E114">
        <v>7.1997194290161097</v>
      </c>
      <c r="F114">
        <v>12.9540758132934</v>
      </c>
    </row>
    <row r="115" spans="1:6" x14ac:dyDescent="0.2">
      <c r="A115" t="s">
        <v>12</v>
      </c>
      <c r="B115">
        <v>2005</v>
      </c>
      <c r="C115">
        <v>2009</v>
      </c>
      <c r="D115">
        <v>9.1769828796386701</v>
      </c>
      <c r="E115">
        <v>6.98630619049072</v>
      </c>
      <c r="F115">
        <v>12.679099082946699</v>
      </c>
    </row>
    <row r="116" spans="1:6" x14ac:dyDescent="0.2">
      <c r="A116" t="s">
        <v>12</v>
      </c>
      <c r="B116">
        <v>2010</v>
      </c>
      <c r="C116">
        <v>2014</v>
      </c>
      <c r="D116">
        <v>10.0617570877075</v>
      </c>
      <c r="E116">
        <v>7.79518222808837</v>
      </c>
      <c r="F116">
        <v>13.722051620483301</v>
      </c>
    </row>
    <row r="117" spans="1:6" x14ac:dyDescent="0.2">
      <c r="A117" t="s">
        <v>12</v>
      </c>
      <c r="B117">
        <v>2015</v>
      </c>
      <c r="C117">
        <v>2019</v>
      </c>
      <c r="D117">
        <v>9.9510278701782209</v>
      </c>
      <c r="E117">
        <v>7.8555574417114196</v>
      </c>
      <c r="F117">
        <v>13.375623703002899</v>
      </c>
    </row>
    <row r="118" spans="1:6" x14ac:dyDescent="0.2">
      <c r="A118" t="s">
        <v>12</v>
      </c>
      <c r="B118">
        <v>2020</v>
      </c>
      <c r="C118">
        <v>2024</v>
      </c>
      <c r="D118">
        <v>10.9093379974365</v>
      </c>
      <c r="E118">
        <v>8.6302118301391602</v>
      </c>
      <c r="F118">
        <v>14.6532325744628</v>
      </c>
    </row>
    <row r="119" spans="1:6" x14ac:dyDescent="0.2">
      <c r="A119" t="s">
        <v>12</v>
      </c>
      <c r="B119">
        <v>2025</v>
      </c>
      <c r="C119">
        <v>2029</v>
      </c>
      <c r="D119">
        <v>10.899547576904199</v>
      </c>
      <c r="E119">
        <v>8.6736774444580007</v>
      </c>
      <c r="F119">
        <v>14.553876876831</v>
      </c>
    </row>
    <row r="120" spans="1:6" x14ac:dyDescent="0.2">
      <c r="A120" t="s">
        <v>12</v>
      </c>
      <c r="B120">
        <v>2030</v>
      </c>
      <c r="C120">
        <v>2034</v>
      </c>
      <c r="D120">
        <v>10.558300971984799</v>
      </c>
      <c r="E120">
        <v>8.2010107040405202</v>
      </c>
      <c r="F120">
        <v>14.4139137268066</v>
      </c>
    </row>
    <row r="121" spans="1:6" x14ac:dyDescent="0.2">
      <c r="A121" t="s">
        <v>12</v>
      </c>
      <c r="B121">
        <v>2035</v>
      </c>
      <c r="C121">
        <v>2039</v>
      </c>
      <c r="D121">
        <v>10.8648023605346</v>
      </c>
      <c r="E121">
        <v>8.4541912078857404</v>
      </c>
      <c r="F121">
        <v>14.8004188537597</v>
      </c>
    </row>
    <row r="122" spans="1:6" x14ac:dyDescent="0.2">
      <c r="A122" t="s">
        <v>12</v>
      </c>
      <c r="B122">
        <v>2040</v>
      </c>
      <c r="C122">
        <v>2044</v>
      </c>
      <c r="D122">
        <v>10.7868633270263</v>
      </c>
      <c r="E122">
        <v>8.3554792404174805</v>
      </c>
      <c r="F122">
        <v>14.7399444580078</v>
      </c>
    </row>
    <row r="123" spans="1:6" x14ac:dyDescent="0.2">
      <c r="A123" t="s">
        <v>12</v>
      </c>
      <c r="B123">
        <v>2045</v>
      </c>
      <c r="C123">
        <v>2049</v>
      </c>
      <c r="D123">
        <v>11.053311347961399</v>
      </c>
      <c r="E123">
        <v>8.4787702560424805</v>
      </c>
      <c r="F123">
        <v>15.2165813446044</v>
      </c>
    </row>
    <row r="124" spans="1:6" x14ac:dyDescent="0.2">
      <c r="A124" t="s">
        <v>12</v>
      </c>
      <c r="B124">
        <v>2050</v>
      </c>
      <c r="C124">
        <v>2054</v>
      </c>
      <c r="D124">
        <v>11.7750034332275</v>
      </c>
      <c r="E124">
        <v>9.1591138839721609</v>
      </c>
      <c r="F124">
        <v>16.014135360717699</v>
      </c>
    </row>
    <row r="125" spans="1:6" x14ac:dyDescent="0.2">
      <c r="A125" t="s">
        <v>12</v>
      </c>
      <c r="B125">
        <v>2055</v>
      </c>
      <c r="C125">
        <v>2059</v>
      </c>
      <c r="D125">
        <v>11.596487045288001</v>
      </c>
      <c r="E125">
        <v>9.0086393356323207</v>
      </c>
      <c r="F125">
        <v>15.7847776412963</v>
      </c>
    </row>
    <row r="126" spans="1:6" x14ac:dyDescent="0.2">
      <c r="A126" t="s">
        <v>12</v>
      </c>
      <c r="B126">
        <v>2060</v>
      </c>
      <c r="C126">
        <v>2064</v>
      </c>
      <c r="D126">
        <v>11.532413482666</v>
      </c>
      <c r="E126">
        <v>8.8797521591186506</v>
      </c>
      <c r="F126">
        <v>15.847368240356399</v>
      </c>
    </row>
    <row r="127" spans="1:6" x14ac:dyDescent="0.2">
      <c r="A127" t="s">
        <v>12</v>
      </c>
      <c r="B127">
        <v>2065</v>
      </c>
      <c r="C127">
        <v>2069</v>
      </c>
      <c r="D127">
        <v>12.009071350097599</v>
      </c>
      <c r="E127">
        <v>9.3064270019531197</v>
      </c>
      <c r="F127">
        <v>16.462062835693299</v>
      </c>
    </row>
    <row r="128" spans="1:6" x14ac:dyDescent="0.2">
      <c r="A128" t="s">
        <v>12</v>
      </c>
      <c r="B128">
        <v>2070</v>
      </c>
      <c r="C128">
        <v>2074</v>
      </c>
      <c r="D128">
        <v>12.0471181869506</v>
      </c>
      <c r="E128">
        <v>9.44244384765625</v>
      </c>
      <c r="F128">
        <v>16.2935256958007</v>
      </c>
    </row>
    <row r="129" spans="1:6" x14ac:dyDescent="0.2">
      <c r="A129" t="s">
        <v>12</v>
      </c>
      <c r="B129">
        <v>2075</v>
      </c>
      <c r="C129">
        <v>2079</v>
      </c>
      <c r="D129">
        <v>12.402361869811999</v>
      </c>
      <c r="E129">
        <v>9.60461330413818</v>
      </c>
      <c r="F129">
        <v>16.961269378662099</v>
      </c>
    </row>
    <row r="130" spans="1:6" x14ac:dyDescent="0.2">
      <c r="A130" t="s">
        <v>12</v>
      </c>
      <c r="B130">
        <v>2080</v>
      </c>
      <c r="C130">
        <v>2084</v>
      </c>
      <c r="D130">
        <v>12.8726196289062</v>
      </c>
      <c r="E130">
        <v>10.008256912231399</v>
      </c>
      <c r="F130">
        <v>17.535135269165</v>
      </c>
    </row>
    <row r="131" spans="1:6" x14ac:dyDescent="0.2">
      <c r="A131" t="s">
        <v>12</v>
      </c>
      <c r="B131">
        <v>2085</v>
      </c>
      <c r="C131">
        <v>2089</v>
      </c>
      <c r="D131">
        <v>12.532972335815399</v>
      </c>
      <c r="E131">
        <v>9.9474287033081001</v>
      </c>
      <c r="F131">
        <v>16.8041172027587</v>
      </c>
    </row>
    <row r="132" spans="1:6" x14ac:dyDescent="0.2">
      <c r="A132" t="s">
        <v>12</v>
      </c>
      <c r="B132">
        <v>2090</v>
      </c>
      <c r="C132">
        <v>2094</v>
      </c>
      <c r="D132">
        <v>13.4285669326782</v>
      </c>
      <c r="E132">
        <v>10.7000007629394</v>
      </c>
      <c r="F132">
        <v>17.951051712036101</v>
      </c>
    </row>
    <row r="133" spans="1:6" x14ac:dyDescent="0.2">
      <c r="A133" t="s">
        <v>12</v>
      </c>
      <c r="B133">
        <v>2095</v>
      </c>
      <c r="C133">
        <v>2099</v>
      </c>
      <c r="D133">
        <v>13.9609413146972</v>
      </c>
      <c r="E133">
        <v>11.141048431396401</v>
      </c>
      <c r="F133">
        <v>18.641242980956999</v>
      </c>
    </row>
    <row r="134" spans="1:6" x14ac:dyDescent="0.2">
      <c r="A134" t="s">
        <v>13</v>
      </c>
      <c r="B134">
        <v>1990</v>
      </c>
      <c r="C134">
        <v>1994</v>
      </c>
      <c r="D134">
        <v>6.8068747520446697</v>
      </c>
      <c r="E134">
        <v>5.294921875</v>
      </c>
      <c r="F134">
        <v>10.2626295089721</v>
      </c>
    </row>
    <row r="135" spans="1:6" x14ac:dyDescent="0.2">
      <c r="A135" t="s">
        <v>13</v>
      </c>
      <c r="B135">
        <v>1995</v>
      </c>
      <c r="C135">
        <v>1999</v>
      </c>
      <c r="D135">
        <v>6.9548835754394496</v>
      </c>
      <c r="E135">
        <v>5.2514510154724103</v>
      </c>
      <c r="F135">
        <v>10.8616895675659</v>
      </c>
    </row>
    <row r="136" spans="1:6" x14ac:dyDescent="0.2">
      <c r="A136" t="s">
        <v>13</v>
      </c>
      <c r="B136">
        <v>2000</v>
      </c>
      <c r="C136">
        <v>2004</v>
      </c>
      <c r="D136">
        <v>7.1734566688537598</v>
      </c>
      <c r="E136">
        <v>5.5673518180847097</v>
      </c>
      <c r="F136">
        <v>10.878841400146401</v>
      </c>
    </row>
    <row r="137" spans="1:6" x14ac:dyDescent="0.2">
      <c r="A137" t="s">
        <v>13</v>
      </c>
      <c r="B137">
        <v>2005</v>
      </c>
      <c r="C137">
        <v>2009</v>
      </c>
      <c r="D137">
        <v>7.3139295578002903</v>
      </c>
      <c r="E137">
        <v>5.72296094894409</v>
      </c>
      <c r="F137">
        <v>10.978227615356399</v>
      </c>
    </row>
    <row r="138" spans="1:6" x14ac:dyDescent="0.2">
      <c r="A138" t="s">
        <v>13</v>
      </c>
      <c r="B138">
        <v>2010</v>
      </c>
      <c r="C138">
        <v>2014</v>
      </c>
      <c r="D138">
        <v>7.2398738861083896</v>
      </c>
      <c r="E138">
        <v>5.6069469451904297</v>
      </c>
      <c r="F138">
        <v>11.013820648193301</v>
      </c>
    </row>
    <row r="139" spans="1:6" x14ac:dyDescent="0.2">
      <c r="A139" t="s">
        <v>13</v>
      </c>
      <c r="B139">
        <v>2015</v>
      </c>
      <c r="C139">
        <v>2019</v>
      </c>
      <c r="D139">
        <v>7.7858223915100098</v>
      </c>
      <c r="E139">
        <v>6.1466851234436</v>
      </c>
      <c r="F139">
        <v>11.5561256408691</v>
      </c>
    </row>
    <row r="140" spans="1:6" x14ac:dyDescent="0.2">
      <c r="A140" t="s">
        <v>13</v>
      </c>
      <c r="B140">
        <v>2020</v>
      </c>
      <c r="C140">
        <v>2024</v>
      </c>
      <c r="D140">
        <v>7.4358396530151296</v>
      </c>
      <c r="E140">
        <v>5.74511241912841</v>
      </c>
      <c r="F140">
        <v>11.344500541686999</v>
      </c>
    </row>
    <row r="141" spans="1:6" x14ac:dyDescent="0.2">
      <c r="A141" t="s">
        <v>13</v>
      </c>
      <c r="B141">
        <v>2025</v>
      </c>
      <c r="C141">
        <v>2029</v>
      </c>
      <c r="D141">
        <v>7.4625182151794398</v>
      </c>
      <c r="E141">
        <v>5.7407741546630797</v>
      </c>
      <c r="F141">
        <v>11.402264595031699</v>
      </c>
    </row>
    <row r="142" spans="1:6" x14ac:dyDescent="0.2">
      <c r="A142" t="s">
        <v>13</v>
      </c>
      <c r="B142">
        <v>2030</v>
      </c>
      <c r="C142">
        <v>2034</v>
      </c>
      <c r="D142">
        <v>7.6803956031799299</v>
      </c>
      <c r="E142">
        <v>6.0517625808715803</v>
      </c>
      <c r="F142">
        <v>11.432863235473601</v>
      </c>
    </row>
    <row r="143" spans="1:6" x14ac:dyDescent="0.2">
      <c r="A143" t="s">
        <v>13</v>
      </c>
      <c r="B143">
        <v>2035</v>
      </c>
      <c r="C143">
        <v>2039</v>
      </c>
      <c r="D143">
        <v>7.8623466491699201</v>
      </c>
      <c r="E143">
        <v>6.1134152412414497</v>
      </c>
      <c r="F143">
        <v>11.876080513000399</v>
      </c>
    </row>
    <row r="144" spans="1:6" x14ac:dyDescent="0.2">
      <c r="A144" t="s">
        <v>13</v>
      </c>
      <c r="B144">
        <v>2040</v>
      </c>
      <c r="C144">
        <v>2044</v>
      </c>
      <c r="D144">
        <v>7.4905400276184002</v>
      </c>
      <c r="E144">
        <v>5.8872318267822203</v>
      </c>
      <c r="F144">
        <v>11.173070907592701</v>
      </c>
    </row>
    <row r="145" spans="1:6" x14ac:dyDescent="0.2">
      <c r="A145" t="s">
        <v>13</v>
      </c>
      <c r="B145">
        <v>2045</v>
      </c>
      <c r="C145">
        <v>2049</v>
      </c>
      <c r="D145">
        <v>7.5157122611999503</v>
      </c>
      <c r="E145">
        <v>5.8818273544311497</v>
      </c>
      <c r="F145">
        <v>11.313243865966699</v>
      </c>
    </row>
    <row r="146" spans="1:6" x14ac:dyDescent="0.2">
      <c r="A146" t="s">
        <v>13</v>
      </c>
      <c r="B146">
        <v>2050</v>
      </c>
      <c r="C146">
        <v>2054</v>
      </c>
      <c r="D146">
        <v>7.8594341278076101</v>
      </c>
      <c r="E146">
        <v>6.1184425354003897</v>
      </c>
      <c r="F146">
        <v>11.8748216629028</v>
      </c>
    </row>
    <row r="147" spans="1:6" x14ac:dyDescent="0.2">
      <c r="A147" t="s">
        <v>13</v>
      </c>
      <c r="B147">
        <v>2055</v>
      </c>
      <c r="C147">
        <v>2059</v>
      </c>
      <c r="D147">
        <v>8.2897424697875906</v>
      </c>
      <c r="E147">
        <v>6.3345022201537997</v>
      </c>
      <c r="F147">
        <v>12.793976783752401</v>
      </c>
    </row>
    <row r="148" spans="1:6" x14ac:dyDescent="0.2">
      <c r="A148" t="s">
        <v>13</v>
      </c>
      <c r="B148">
        <v>2060</v>
      </c>
      <c r="C148">
        <v>2064</v>
      </c>
      <c r="D148">
        <v>8.3298873901367099</v>
      </c>
      <c r="E148">
        <v>6.4870982170104901</v>
      </c>
      <c r="F148">
        <v>12.5611667633056</v>
      </c>
    </row>
    <row r="149" spans="1:6" x14ac:dyDescent="0.2">
      <c r="A149" t="s">
        <v>13</v>
      </c>
      <c r="B149">
        <v>2065</v>
      </c>
      <c r="C149">
        <v>2069</v>
      </c>
      <c r="D149">
        <v>8.4848308563232404</v>
      </c>
      <c r="E149">
        <v>6.6282668113708496</v>
      </c>
      <c r="F149">
        <v>12.7863254547119</v>
      </c>
    </row>
    <row r="150" spans="1:6" x14ac:dyDescent="0.2">
      <c r="A150" t="s">
        <v>13</v>
      </c>
      <c r="B150">
        <v>2070</v>
      </c>
      <c r="C150">
        <v>2074</v>
      </c>
      <c r="D150">
        <v>8.1757297515869105</v>
      </c>
      <c r="E150">
        <v>6.2444496154785103</v>
      </c>
      <c r="F150">
        <v>12.628469467163001</v>
      </c>
    </row>
    <row r="151" spans="1:6" x14ac:dyDescent="0.2">
      <c r="A151" t="s">
        <v>13</v>
      </c>
      <c r="B151">
        <v>2075</v>
      </c>
      <c r="C151">
        <v>2079</v>
      </c>
      <c r="D151">
        <v>8.6166877746581996</v>
      </c>
      <c r="E151">
        <v>6.7765364646911603</v>
      </c>
      <c r="F151">
        <v>12.874472618103001</v>
      </c>
    </row>
    <row r="152" spans="1:6" x14ac:dyDescent="0.2">
      <c r="A152" t="s">
        <v>13</v>
      </c>
      <c r="B152">
        <v>2080</v>
      </c>
      <c r="C152">
        <v>2084</v>
      </c>
      <c r="D152">
        <v>8.6285343170165998</v>
      </c>
      <c r="E152">
        <v>6.7359123229980398</v>
      </c>
      <c r="F152">
        <v>12.993475914001399</v>
      </c>
    </row>
    <row r="153" spans="1:6" x14ac:dyDescent="0.2">
      <c r="A153" t="s">
        <v>13</v>
      </c>
      <c r="B153">
        <v>2085</v>
      </c>
      <c r="C153">
        <v>2089</v>
      </c>
      <c r="D153">
        <v>8.5753488540649396</v>
      </c>
      <c r="E153">
        <v>6.7451443672180096</v>
      </c>
      <c r="F153">
        <v>12.7667236328125</v>
      </c>
    </row>
    <row r="154" spans="1:6" x14ac:dyDescent="0.2">
      <c r="A154" t="s">
        <v>13</v>
      </c>
      <c r="B154">
        <v>2090</v>
      </c>
      <c r="C154">
        <v>2094</v>
      </c>
      <c r="D154">
        <v>8.8299102783203107</v>
      </c>
      <c r="E154">
        <v>6.9177188873290998</v>
      </c>
      <c r="F154">
        <v>13.210364341735801</v>
      </c>
    </row>
    <row r="155" spans="1:6" x14ac:dyDescent="0.2">
      <c r="A155" t="s">
        <v>13</v>
      </c>
      <c r="B155">
        <v>2095</v>
      </c>
      <c r="C155">
        <v>2099</v>
      </c>
      <c r="D155">
        <v>8.7279806137084908</v>
      </c>
      <c r="E155">
        <v>6.8559165000915501</v>
      </c>
      <c r="F155">
        <v>13.0286397933959</v>
      </c>
    </row>
    <row r="156" spans="1:6" x14ac:dyDescent="0.2">
      <c r="A156" t="s">
        <v>14</v>
      </c>
      <c r="B156">
        <v>1990</v>
      </c>
      <c r="C156">
        <v>1994</v>
      </c>
      <c r="D156">
        <v>11.7832326889038</v>
      </c>
      <c r="E156">
        <v>10.0014657974243</v>
      </c>
      <c r="F156">
        <v>16.289546966552699</v>
      </c>
    </row>
    <row r="157" spans="1:6" x14ac:dyDescent="0.2">
      <c r="A157" t="s">
        <v>14</v>
      </c>
      <c r="B157">
        <v>1995</v>
      </c>
      <c r="C157">
        <v>1999</v>
      </c>
      <c r="D157">
        <v>12.0951385498046</v>
      </c>
      <c r="E157">
        <v>10.1492252349853</v>
      </c>
      <c r="F157">
        <v>16.94260597229</v>
      </c>
    </row>
    <row r="158" spans="1:6" x14ac:dyDescent="0.2">
      <c r="A158" t="s">
        <v>14</v>
      </c>
      <c r="B158">
        <v>2000</v>
      </c>
      <c r="C158">
        <v>2004</v>
      </c>
      <c r="D158">
        <v>13.014584541320801</v>
      </c>
      <c r="E158">
        <v>11.061916351318301</v>
      </c>
      <c r="F158">
        <v>17.939840316772401</v>
      </c>
    </row>
    <row r="159" spans="1:6" x14ac:dyDescent="0.2">
      <c r="A159" t="s">
        <v>14</v>
      </c>
      <c r="B159">
        <v>2005</v>
      </c>
      <c r="C159">
        <v>2009</v>
      </c>
      <c r="D159">
        <v>11.913509368896401</v>
      </c>
      <c r="E159">
        <v>9.9826488494872994</v>
      </c>
      <c r="F159">
        <v>16.767868041992099</v>
      </c>
    </row>
    <row r="160" spans="1:6" x14ac:dyDescent="0.2">
      <c r="A160" t="s">
        <v>14</v>
      </c>
      <c r="B160">
        <v>2010</v>
      </c>
      <c r="C160">
        <v>2014</v>
      </c>
      <c r="D160">
        <v>12.374045372009199</v>
      </c>
      <c r="E160">
        <v>10.562145233154199</v>
      </c>
      <c r="F160">
        <v>17.021896362304599</v>
      </c>
    </row>
    <row r="161" spans="1:6" x14ac:dyDescent="0.2">
      <c r="A161" t="s">
        <v>14</v>
      </c>
      <c r="B161">
        <v>2015</v>
      </c>
      <c r="C161">
        <v>2019</v>
      </c>
      <c r="D161">
        <v>12.284404754638601</v>
      </c>
      <c r="E161">
        <v>10.343247413635201</v>
      </c>
      <c r="F161">
        <v>17.227491378784102</v>
      </c>
    </row>
    <row r="162" spans="1:6" x14ac:dyDescent="0.2">
      <c r="A162" t="s">
        <v>14</v>
      </c>
      <c r="B162">
        <v>2020</v>
      </c>
      <c r="C162">
        <v>2024</v>
      </c>
      <c r="D162">
        <v>12.707637786865201</v>
      </c>
      <c r="E162">
        <v>10.8927412033081</v>
      </c>
      <c r="F162">
        <v>17.316997528076101</v>
      </c>
    </row>
    <row r="163" spans="1:6" x14ac:dyDescent="0.2">
      <c r="A163" t="s">
        <v>14</v>
      </c>
      <c r="B163">
        <v>2025</v>
      </c>
      <c r="C163">
        <v>2029</v>
      </c>
      <c r="D163">
        <v>12.7320804595947</v>
      </c>
      <c r="E163">
        <v>10.995108604431101</v>
      </c>
      <c r="F163">
        <v>17.104333877563398</v>
      </c>
    </row>
    <row r="164" spans="1:6" x14ac:dyDescent="0.2">
      <c r="A164" t="s">
        <v>14</v>
      </c>
      <c r="B164">
        <v>2030</v>
      </c>
      <c r="C164">
        <v>2034</v>
      </c>
      <c r="D164">
        <v>12.722341537475501</v>
      </c>
      <c r="E164">
        <v>10.6112356185913</v>
      </c>
      <c r="F164">
        <v>17.994249343871999</v>
      </c>
    </row>
    <row r="165" spans="1:6" x14ac:dyDescent="0.2">
      <c r="A165" t="s">
        <v>14</v>
      </c>
      <c r="B165">
        <v>2035</v>
      </c>
      <c r="C165">
        <v>2039</v>
      </c>
      <c r="D165">
        <v>13.2998304367065</v>
      </c>
      <c r="E165">
        <v>11.2504892349243</v>
      </c>
      <c r="F165">
        <v>18.473648071288999</v>
      </c>
    </row>
    <row r="166" spans="1:6" x14ac:dyDescent="0.2">
      <c r="A166" t="s">
        <v>14</v>
      </c>
      <c r="B166">
        <v>2040</v>
      </c>
      <c r="C166">
        <v>2044</v>
      </c>
      <c r="D166">
        <v>12.866497039794901</v>
      </c>
      <c r="E166">
        <v>10.8536262512207</v>
      </c>
      <c r="F166">
        <v>17.9128608703613</v>
      </c>
    </row>
    <row r="167" spans="1:6" x14ac:dyDescent="0.2">
      <c r="A167" t="s">
        <v>14</v>
      </c>
      <c r="B167">
        <v>2045</v>
      </c>
      <c r="C167">
        <v>2049</v>
      </c>
      <c r="D167">
        <v>13.5102787017822</v>
      </c>
      <c r="E167">
        <v>11.550157546996999</v>
      </c>
      <c r="F167">
        <v>18.500064849853501</v>
      </c>
    </row>
    <row r="168" spans="1:6" x14ac:dyDescent="0.2">
      <c r="A168" t="s">
        <v>14</v>
      </c>
      <c r="B168">
        <v>2050</v>
      </c>
      <c r="C168">
        <v>2054</v>
      </c>
      <c r="D168">
        <v>14.0020246505737</v>
      </c>
      <c r="E168">
        <v>11.985673904418899</v>
      </c>
      <c r="F168">
        <v>19.060838699340799</v>
      </c>
    </row>
    <row r="169" spans="1:6" x14ac:dyDescent="0.2">
      <c r="A169" t="s">
        <v>14</v>
      </c>
      <c r="B169">
        <v>2055</v>
      </c>
      <c r="C169">
        <v>2059</v>
      </c>
      <c r="D169">
        <v>14.128065109252899</v>
      </c>
      <c r="E169">
        <v>12.0419597625732</v>
      </c>
      <c r="F169">
        <v>19.425601959228501</v>
      </c>
    </row>
    <row r="170" spans="1:6" x14ac:dyDescent="0.2">
      <c r="A170" t="s">
        <v>14</v>
      </c>
      <c r="B170">
        <v>2060</v>
      </c>
      <c r="C170">
        <v>2064</v>
      </c>
      <c r="D170">
        <v>14.5845470428466</v>
      </c>
      <c r="E170">
        <v>12.399744987487701</v>
      </c>
      <c r="F170">
        <v>20.166608810424801</v>
      </c>
    </row>
    <row r="171" spans="1:6" x14ac:dyDescent="0.2">
      <c r="A171" t="s">
        <v>14</v>
      </c>
      <c r="B171">
        <v>2065</v>
      </c>
      <c r="C171">
        <v>2069</v>
      </c>
      <c r="D171">
        <v>14.3556976318359</v>
      </c>
      <c r="E171">
        <v>12.2337579727172</v>
      </c>
      <c r="F171">
        <v>19.708196640014599</v>
      </c>
    </row>
    <row r="172" spans="1:6" x14ac:dyDescent="0.2">
      <c r="A172" t="s">
        <v>14</v>
      </c>
      <c r="B172">
        <v>2070</v>
      </c>
      <c r="C172">
        <v>2074</v>
      </c>
      <c r="D172">
        <v>14.7039737701416</v>
      </c>
      <c r="E172">
        <v>12.502743721008301</v>
      </c>
      <c r="F172">
        <v>20.2417392730712</v>
      </c>
    </row>
    <row r="173" spans="1:6" x14ac:dyDescent="0.2">
      <c r="A173" t="s">
        <v>14</v>
      </c>
      <c r="B173">
        <v>2075</v>
      </c>
      <c r="C173">
        <v>2079</v>
      </c>
      <c r="D173">
        <v>14.8820285797119</v>
      </c>
      <c r="E173">
        <v>12.7599163055419</v>
      </c>
      <c r="F173">
        <v>20.158309936523398</v>
      </c>
    </row>
    <row r="174" spans="1:6" x14ac:dyDescent="0.2">
      <c r="A174" t="s">
        <v>14</v>
      </c>
      <c r="B174">
        <v>2080</v>
      </c>
      <c r="C174">
        <v>2084</v>
      </c>
      <c r="D174">
        <v>14.9180688858032</v>
      </c>
      <c r="E174">
        <v>12.6119222640991</v>
      </c>
      <c r="F174">
        <v>20.7410774230957</v>
      </c>
    </row>
    <row r="175" spans="1:6" x14ac:dyDescent="0.2">
      <c r="A175" t="s">
        <v>14</v>
      </c>
      <c r="B175">
        <v>2085</v>
      </c>
      <c r="C175">
        <v>2089</v>
      </c>
      <c r="D175">
        <v>14.819531440734799</v>
      </c>
      <c r="E175">
        <v>12.624574661254799</v>
      </c>
      <c r="F175">
        <v>20.3906936645507</v>
      </c>
    </row>
    <row r="176" spans="1:6" x14ac:dyDescent="0.2">
      <c r="A176" t="s">
        <v>14</v>
      </c>
      <c r="B176">
        <v>2090</v>
      </c>
      <c r="C176">
        <v>2094</v>
      </c>
      <c r="D176">
        <v>15.3688097000122</v>
      </c>
      <c r="E176">
        <v>13.177676200866699</v>
      </c>
      <c r="F176">
        <v>20.874326705932599</v>
      </c>
    </row>
    <row r="177" spans="1:6" x14ac:dyDescent="0.2">
      <c r="A177" t="s">
        <v>14</v>
      </c>
      <c r="B177">
        <v>2095</v>
      </c>
      <c r="C177">
        <v>2099</v>
      </c>
      <c r="D177">
        <v>15.9360437393188</v>
      </c>
      <c r="E177">
        <v>13.6673669815063</v>
      </c>
      <c r="F177">
        <v>21.673158645629801</v>
      </c>
    </row>
    <row r="178" spans="1:6" x14ac:dyDescent="0.2">
      <c r="A178" t="s">
        <v>15</v>
      </c>
      <c r="B178">
        <v>1990</v>
      </c>
      <c r="C178">
        <v>1994</v>
      </c>
      <c r="D178">
        <v>10.2710838317871</v>
      </c>
      <c r="E178">
        <v>8.6381797790527308</v>
      </c>
      <c r="F178">
        <v>14.245038032531699</v>
      </c>
    </row>
    <row r="179" spans="1:6" x14ac:dyDescent="0.2">
      <c r="A179" t="s">
        <v>15</v>
      </c>
      <c r="B179">
        <v>1995</v>
      </c>
      <c r="C179">
        <v>1999</v>
      </c>
      <c r="D179">
        <v>11.2750949859619</v>
      </c>
      <c r="E179">
        <v>9.6032953262329102</v>
      </c>
      <c r="F179">
        <v>15.452939033508301</v>
      </c>
    </row>
    <row r="180" spans="1:6" x14ac:dyDescent="0.2">
      <c r="A180" t="s">
        <v>15</v>
      </c>
      <c r="B180">
        <v>2000</v>
      </c>
      <c r="C180">
        <v>2004</v>
      </c>
      <c r="D180">
        <v>10.685437202453601</v>
      </c>
      <c r="E180">
        <v>9.1129808425903303</v>
      </c>
      <c r="F180">
        <v>14.5998544692993</v>
      </c>
    </row>
    <row r="181" spans="1:6" x14ac:dyDescent="0.2">
      <c r="A181" t="s">
        <v>15</v>
      </c>
      <c r="B181">
        <v>2005</v>
      </c>
      <c r="C181">
        <v>2009</v>
      </c>
      <c r="D181">
        <v>10.980367660522401</v>
      </c>
      <c r="E181">
        <v>9.2318000793456996</v>
      </c>
      <c r="F181">
        <v>15.323111534118601</v>
      </c>
    </row>
    <row r="182" spans="1:6" x14ac:dyDescent="0.2">
      <c r="A182" t="s">
        <v>15</v>
      </c>
      <c r="B182">
        <v>2010</v>
      </c>
      <c r="C182">
        <v>2014</v>
      </c>
      <c r="D182">
        <v>11.140341758728001</v>
      </c>
      <c r="E182">
        <v>9.4790887832641602</v>
      </c>
      <c r="F182">
        <v>15.2889251708984</v>
      </c>
    </row>
    <row r="183" spans="1:6" x14ac:dyDescent="0.2">
      <c r="A183" t="s">
        <v>15</v>
      </c>
      <c r="B183">
        <v>2015</v>
      </c>
      <c r="C183">
        <v>2019</v>
      </c>
      <c r="D183">
        <v>10.980695724487299</v>
      </c>
      <c r="E183">
        <v>9.2873506546020508</v>
      </c>
      <c r="F183">
        <v>15.2326211929321</v>
      </c>
    </row>
    <row r="184" spans="1:6" x14ac:dyDescent="0.2">
      <c r="A184" t="s">
        <v>15</v>
      </c>
      <c r="B184">
        <v>2020</v>
      </c>
      <c r="C184">
        <v>2024</v>
      </c>
      <c r="D184">
        <v>11.4065227508544</v>
      </c>
      <c r="E184">
        <v>9.81508064270019</v>
      </c>
      <c r="F184">
        <v>15.363501548766999</v>
      </c>
    </row>
    <row r="185" spans="1:6" x14ac:dyDescent="0.2">
      <c r="A185" t="s">
        <v>15</v>
      </c>
      <c r="B185">
        <v>2025</v>
      </c>
      <c r="C185">
        <v>2029</v>
      </c>
      <c r="D185">
        <v>11.833926200866699</v>
      </c>
      <c r="E185">
        <v>10.0617170333862</v>
      </c>
      <c r="F185">
        <v>16.2175483703613</v>
      </c>
    </row>
    <row r="186" spans="1:6" x14ac:dyDescent="0.2">
      <c r="A186" t="s">
        <v>15</v>
      </c>
      <c r="B186">
        <v>2030</v>
      </c>
      <c r="C186">
        <v>2034</v>
      </c>
      <c r="D186">
        <v>11.862529754638601</v>
      </c>
      <c r="E186">
        <v>10.0182657241821</v>
      </c>
      <c r="F186">
        <v>16.488842010498001</v>
      </c>
    </row>
    <row r="187" spans="1:6" x14ac:dyDescent="0.2">
      <c r="A187" t="s">
        <v>15</v>
      </c>
      <c r="B187">
        <v>2035</v>
      </c>
      <c r="C187">
        <v>2039</v>
      </c>
      <c r="D187">
        <v>12.5763702392578</v>
      </c>
      <c r="E187">
        <v>10.7646570205688</v>
      </c>
      <c r="F187">
        <v>17.163825988769499</v>
      </c>
    </row>
    <row r="188" spans="1:6" x14ac:dyDescent="0.2">
      <c r="A188" t="s">
        <v>15</v>
      </c>
      <c r="B188">
        <v>2040</v>
      </c>
      <c r="C188">
        <v>2044</v>
      </c>
      <c r="D188">
        <v>12.6351356506347</v>
      </c>
      <c r="E188">
        <v>10.748303413391101</v>
      </c>
      <c r="F188">
        <v>17.320610046386701</v>
      </c>
    </row>
    <row r="189" spans="1:6" x14ac:dyDescent="0.2">
      <c r="A189" t="s">
        <v>15</v>
      </c>
      <c r="B189">
        <v>2045</v>
      </c>
      <c r="C189">
        <v>2049</v>
      </c>
      <c r="D189">
        <v>12.488756179809499</v>
      </c>
      <c r="E189">
        <v>10.521143913269</v>
      </c>
      <c r="F189">
        <v>17.381368637084901</v>
      </c>
    </row>
    <row r="190" spans="1:6" x14ac:dyDescent="0.2">
      <c r="A190" t="s">
        <v>15</v>
      </c>
      <c r="B190">
        <v>2050</v>
      </c>
      <c r="C190">
        <v>2054</v>
      </c>
      <c r="D190">
        <v>12.5951528549194</v>
      </c>
      <c r="E190">
        <v>10.7765035629272</v>
      </c>
      <c r="F190">
        <v>17.017601013183501</v>
      </c>
    </row>
    <row r="191" spans="1:6" x14ac:dyDescent="0.2">
      <c r="A191" t="s">
        <v>15</v>
      </c>
      <c r="B191">
        <v>2055</v>
      </c>
      <c r="C191">
        <v>2059</v>
      </c>
      <c r="D191">
        <v>12.499354362487701</v>
      </c>
      <c r="E191">
        <v>10.5281963348388</v>
      </c>
      <c r="F191">
        <v>17.3575439453125</v>
      </c>
    </row>
    <row r="192" spans="1:6" x14ac:dyDescent="0.2">
      <c r="A192" t="s">
        <v>15</v>
      </c>
      <c r="B192">
        <v>2060</v>
      </c>
      <c r="C192">
        <v>2064</v>
      </c>
      <c r="D192">
        <v>12.8852090835571</v>
      </c>
      <c r="E192">
        <v>10.862556457519499</v>
      </c>
      <c r="F192">
        <v>17.848934173583899</v>
      </c>
    </row>
    <row r="193" spans="1:6" x14ac:dyDescent="0.2">
      <c r="A193" t="s">
        <v>15</v>
      </c>
      <c r="B193">
        <v>2065</v>
      </c>
      <c r="C193">
        <v>2069</v>
      </c>
      <c r="D193">
        <v>12.9247722625732</v>
      </c>
      <c r="E193">
        <v>10.914288520812899</v>
      </c>
      <c r="F193">
        <v>17.961755752563398</v>
      </c>
    </row>
    <row r="194" spans="1:6" x14ac:dyDescent="0.2">
      <c r="A194" t="s">
        <v>15</v>
      </c>
      <c r="B194">
        <v>2070</v>
      </c>
      <c r="C194">
        <v>2074</v>
      </c>
      <c r="D194">
        <v>14.143603324890099</v>
      </c>
      <c r="E194">
        <v>12.1487255096435</v>
      </c>
      <c r="F194">
        <v>19.138551712036101</v>
      </c>
    </row>
    <row r="195" spans="1:6" x14ac:dyDescent="0.2">
      <c r="A195" t="s">
        <v>15</v>
      </c>
      <c r="B195">
        <v>2075</v>
      </c>
      <c r="C195">
        <v>2079</v>
      </c>
      <c r="D195">
        <v>13.769919395446699</v>
      </c>
      <c r="E195">
        <v>11.863063812255801</v>
      </c>
      <c r="F195">
        <v>18.554262161254801</v>
      </c>
    </row>
    <row r="196" spans="1:6" x14ac:dyDescent="0.2">
      <c r="A196" t="s">
        <v>15</v>
      </c>
      <c r="B196">
        <v>2080</v>
      </c>
      <c r="C196">
        <v>2084</v>
      </c>
      <c r="D196">
        <v>14.0067224502563</v>
      </c>
      <c r="E196">
        <v>12.117525100708001</v>
      </c>
      <c r="F196">
        <v>18.7479743957519</v>
      </c>
    </row>
    <row r="197" spans="1:6" x14ac:dyDescent="0.2">
      <c r="A197" t="s">
        <v>15</v>
      </c>
      <c r="B197">
        <v>2085</v>
      </c>
      <c r="C197">
        <v>2089</v>
      </c>
      <c r="D197">
        <v>13.4272813796997</v>
      </c>
      <c r="E197">
        <v>11.4107294082641</v>
      </c>
      <c r="F197">
        <v>18.440090179443299</v>
      </c>
    </row>
    <row r="198" spans="1:6" x14ac:dyDescent="0.2">
      <c r="A198" t="s">
        <v>15</v>
      </c>
      <c r="B198">
        <v>2090</v>
      </c>
      <c r="C198">
        <v>2094</v>
      </c>
      <c r="D198">
        <v>14.6885204315185</v>
      </c>
      <c r="E198">
        <v>12.5294742584228</v>
      </c>
      <c r="F198">
        <v>20.083927154541001</v>
      </c>
    </row>
    <row r="199" spans="1:6" x14ac:dyDescent="0.2">
      <c r="A199" t="s">
        <v>15</v>
      </c>
      <c r="B199">
        <v>2095</v>
      </c>
      <c r="C199">
        <v>2099</v>
      </c>
      <c r="D199">
        <v>14.009813308715801</v>
      </c>
      <c r="E199">
        <v>12.016334533691399</v>
      </c>
      <c r="F199">
        <v>18.9955520629882</v>
      </c>
    </row>
    <row r="200" spans="1:6" x14ac:dyDescent="0.2">
      <c r="A200" t="s">
        <v>16</v>
      </c>
      <c r="B200">
        <v>1990</v>
      </c>
      <c r="C200">
        <v>1994</v>
      </c>
      <c r="D200">
        <v>6.6990671157836896</v>
      </c>
      <c r="E200">
        <v>5.8326349258422798</v>
      </c>
      <c r="F200">
        <v>9.3639974594116193</v>
      </c>
    </row>
    <row r="201" spans="1:6" x14ac:dyDescent="0.2">
      <c r="A201" t="s">
        <v>16</v>
      </c>
      <c r="B201">
        <v>1995</v>
      </c>
      <c r="C201">
        <v>1999</v>
      </c>
      <c r="D201">
        <v>6.6209030151367099</v>
      </c>
      <c r="E201">
        <v>5.6929965019226003</v>
      </c>
      <c r="F201">
        <v>9.5370302200317294</v>
      </c>
    </row>
    <row r="202" spans="1:6" x14ac:dyDescent="0.2">
      <c r="A202" t="s">
        <v>16</v>
      </c>
      <c r="B202">
        <v>2000</v>
      </c>
      <c r="C202">
        <v>2004</v>
      </c>
      <c r="D202">
        <v>6.6080551147460902</v>
      </c>
      <c r="E202">
        <v>5.6333718299865696</v>
      </c>
      <c r="F202">
        <v>9.5709285736083896</v>
      </c>
    </row>
    <row r="203" spans="1:6" x14ac:dyDescent="0.2">
      <c r="A203" t="s">
        <v>16</v>
      </c>
      <c r="B203">
        <v>2005</v>
      </c>
      <c r="C203">
        <v>2009</v>
      </c>
      <c r="D203">
        <v>6.6937413215637198</v>
      </c>
      <c r="E203">
        <v>5.7367672920226997</v>
      </c>
      <c r="F203">
        <v>9.6691865921020508</v>
      </c>
    </row>
    <row r="204" spans="1:6" x14ac:dyDescent="0.2">
      <c r="A204" t="s">
        <v>16</v>
      </c>
      <c r="B204">
        <v>2010</v>
      </c>
      <c r="C204">
        <v>2014</v>
      </c>
      <c r="D204">
        <v>6.9875826835632298</v>
      </c>
      <c r="E204">
        <v>6.06861972808837</v>
      </c>
      <c r="F204">
        <v>9.9028711318969709</v>
      </c>
    </row>
    <row r="205" spans="1:6" x14ac:dyDescent="0.2">
      <c r="A205" t="s">
        <v>16</v>
      </c>
      <c r="B205">
        <v>2015</v>
      </c>
      <c r="C205">
        <v>2019</v>
      </c>
      <c r="D205">
        <v>7.0207762718200604</v>
      </c>
      <c r="E205">
        <v>6.07724809646606</v>
      </c>
      <c r="F205">
        <v>9.9896917343139595</v>
      </c>
    </row>
    <row r="206" spans="1:6" x14ac:dyDescent="0.2">
      <c r="A206" t="s">
        <v>16</v>
      </c>
      <c r="B206">
        <v>2020</v>
      </c>
      <c r="C206">
        <v>2024</v>
      </c>
      <c r="D206">
        <v>7.1714797019958496</v>
      </c>
      <c r="E206">
        <v>6.2184262275695801</v>
      </c>
      <c r="F206">
        <v>10.2018070220947</v>
      </c>
    </row>
    <row r="207" spans="1:6" x14ac:dyDescent="0.2">
      <c r="A207" t="s">
        <v>16</v>
      </c>
      <c r="B207">
        <v>2025</v>
      </c>
      <c r="C207">
        <v>2029</v>
      </c>
      <c r="D207">
        <v>7.3557662963867099</v>
      </c>
      <c r="E207">
        <v>6.3204388618469203</v>
      </c>
      <c r="F207">
        <v>10.610750198364199</v>
      </c>
    </row>
    <row r="208" spans="1:6" x14ac:dyDescent="0.2">
      <c r="A208" t="s">
        <v>16</v>
      </c>
      <c r="B208">
        <v>2030</v>
      </c>
      <c r="C208">
        <v>2034</v>
      </c>
      <c r="D208">
        <v>7.3841676712036097</v>
      </c>
      <c r="E208">
        <v>6.4860043525695801</v>
      </c>
      <c r="F208">
        <v>10.253816604614199</v>
      </c>
    </row>
    <row r="209" spans="1:6" x14ac:dyDescent="0.2">
      <c r="A209" t="s">
        <v>16</v>
      </c>
      <c r="B209">
        <v>2035</v>
      </c>
      <c r="C209">
        <v>2039</v>
      </c>
      <c r="D209">
        <v>7.3715524673461896</v>
      </c>
      <c r="E209">
        <v>6.4170718193054199</v>
      </c>
      <c r="F209">
        <v>10.3613233566284</v>
      </c>
    </row>
    <row r="210" spans="1:6" x14ac:dyDescent="0.2">
      <c r="A210" t="s">
        <v>16</v>
      </c>
      <c r="B210">
        <v>2040</v>
      </c>
      <c r="C210">
        <v>2044</v>
      </c>
      <c r="D210">
        <v>7.7829566001892001</v>
      </c>
      <c r="E210">
        <v>6.70082235336303</v>
      </c>
      <c r="F210">
        <v>11.2122020721435</v>
      </c>
    </row>
    <row r="211" spans="1:6" x14ac:dyDescent="0.2">
      <c r="A211" t="s">
        <v>16</v>
      </c>
      <c r="B211">
        <v>2045</v>
      </c>
      <c r="C211">
        <v>2049</v>
      </c>
      <c r="D211">
        <v>8.1902284622192294</v>
      </c>
      <c r="E211">
        <v>7.0597157478332502</v>
      </c>
      <c r="F211">
        <v>11.74192237854</v>
      </c>
    </row>
    <row r="212" spans="1:6" x14ac:dyDescent="0.2">
      <c r="A212" t="s">
        <v>16</v>
      </c>
      <c r="B212">
        <v>2050</v>
      </c>
      <c r="C212">
        <v>2054</v>
      </c>
      <c r="D212">
        <v>7.6246218681335396</v>
      </c>
      <c r="E212">
        <v>6.6060090065002397</v>
      </c>
      <c r="F212">
        <v>10.8995037078857</v>
      </c>
    </row>
    <row r="213" spans="1:6" x14ac:dyDescent="0.2">
      <c r="A213" t="s">
        <v>16</v>
      </c>
      <c r="B213">
        <v>2055</v>
      </c>
      <c r="C213">
        <v>2059</v>
      </c>
      <c r="D213">
        <v>7.9004144668579102</v>
      </c>
      <c r="E213">
        <v>6.8187794685363698</v>
      </c>
      <c r="F213">
        <v>11.3462200164794</v>
      </c>
    </row>
    <row r="214" spans="1:6" x14ac:dyDescent="0.2">
      <c r="A214" t="s">
        <v>16</v>
      </c>
      <c r="B214">
        <v>2060</v>
      </c>
      <c r="C214">
        <v>2064</v>
      </c>
      <c r="D214">
        <v>7.8665318489074698</v>
      </c>
      <c r="E214">
        <v>6.7449421882629297</v>
      </c>
      <c r="F214">
        <v>11.4195642471313</v>
      </c>
    </row>
    <row r="215" spans="1:6" x14ac:dyDescent="0.2">
      <c r="A215" t="s">
        <v>16</v>
      </c>
      <c r="B215">
        <v>2065</v>
      </c>
      <c r="C215">
        <v>2069</v>
      </c>
      <c r="D215">
        <v>8.3379793167114205</v>
      </c>
      <c r="E215">
        <v>7.3178358078002903</v>
      </c>
      <c r="F215">
        <v>11.6529684066772</v>
      </c>
    </row>
    <row r="216" spans="1:6" x14ac:dyDescent="0.2">
      <c r="A216" t="s">
        <v>16</v>
      </c>
      <c r="B216">
        <v>2070</v>
      </c>
      <c r="C216">
        <v>2074</v>
      </c>
      <c r="D216">
        <v>8.5414495468139595</v>
      </c>
      <c r="E216">
        <v>7.4815101623535103</v>
      </c>
      <c r="F216">
        <v>12.0422258377075</v>
      </c>
    </row>
    <row r="217" spans="1:6" x14ac:dyDescent="0.2">
      <c r="A217" t="s">
        <v>16</v>
      </c>
      <c r="B217">
        <v>2075</v>
      </c>
      <c r="C217">
        <v>2079</v>
      </c>
      <c r="D217">
        <v>8.5808401107787997</v>
      </c>
      <c r="E217">
        <v>7.4510636329650799</v>
      </c>
      <c r="F217">
        <v>12.269273757934499</v>
      </c>
    </row>
    <row r="218" spans="1:6" x14ac:dyDescent="0.2">
      <c r="A218" t="s">
        <v>16</v>
      </c>
      <c r="B218">
        <v>2080</v>
      </c>
      <c r="C218">
        <v>2084</v>
      </c>
      <c r="D218">
        <v>8.8804597854614205</v>
      </c>
      <c r="E218">
        <v>7.8054995536804199</v>
      </c>
      <c r="F218">
        <v>12.475965499877899</v>
      </c>
    </row>
    <row r="219" spans="1:6" x14ac:dyDescent="0.2">
      <c r="A219" t="s">
        <v>16</v>
      </c>
      <c r="B219">
        <v>2085</v>
      </c>
      <c r="C219">
        <v>2089</v>
      </c>
      <c r="D219">
        <v>9.0865516662597603</v>
      </c>
      <c r="E219">
        <v>8.0412702560424805</v>
      </c>
      <c r="F219">
        <v>12.634018898010201</v>
      </c>
    </row>
    <row r="220" spans="1:6" x14ac:dyDescent="0.2">
      <c r="A220" t="s">
        <v>16</v>
      </c>
      <c r="B220">
        <v>2090</v>
      </c>
      <c r="C220">
        <v>2094</v>
      </c>
      <c r="D220">
        <v>9.3705596923828107</v>
      </c>
      <c r="E220">
        <v>8.40632820129394</v>
      </c>
      <c r="F220">
        <v>12.6706800460815</v>
      </c>
    </row>
    <row r="221" spans="1:6" x14ac:dyDescent="0.2">
      <c r="A221" t="s">
        <v>16</v>
      </c>
      <c r="B221">
        <v>2095</v>
      </c>
      <c r="C221">
        <v>2099</v>
      </c>
      <c r="D221">
        <v>9.94445705413818</v>
      </c>
      <c r="E221">
        <v>8.9255342483520508</v>
      </c>
      <c r="F221">
        <v>13.4651937484741</v>
      </c>
    </row>
    <row r="222" spans="1:6" x14ac:dyDescent="0.2">
      <c r="A222" t="s">
        <v>17</v>
      </c>
      <c r="B222">
        <v>1990</v>
      </c>
      <c r="C222">
        <v>1994</v>
      </c>
      <c r="D222">
        <v>12.8076524734497</v>
      </c>
      <c r="E222">
        <v>9.5839996337890607</v>
      </c>
      <c r="F222">
        <v>19.203651428222599</v>
      </c>
    </row>
    <row r="223" spans="1:6" x14ac:dyDescent="0.2">
      <c r="A223" t="s">
        <v>17</v>
      </c>
      <c r="B223">
        <v>1995</v>
      </c>
      <c r="C223">
        <v>1999</v>
      </c>
      <c r="D223">
        <v>13.9843378067016</v>
      </c>
      <c r="E223">
        <v>10.959153175354</v>
      </c>
      <c r="F223">
        <v>20.318527221679599</v>
      </c>
    </row>
    <row r="224" spans="1:6" x14ac:dyDescent="0.2">
      <c r="A224" t="s">
        <v>17</v>
      </c>
      <c r="B224">
        <v>2000</v>
      </c>
      <c r="C224">
        <v>2004</v>
      </c>
      <c r="D224">
        <v>13.3436946868896</v>
      </c>
      <c r="E224">
        <v>10.162254333496</v>
      </c>
      <c r="F224">
        <v>19.626195907592699</v>
      </c>
    </row>
    <row r="225" spans="1:6" x14ac:dyDescent="0.2">
      <c r="A225" t="s">
        <v>17</v>
      </c>
      <c r="B225">
        <v>2005</v>
      </c>
      <c r="C225">
        <v>2009</v>
      </c>
      <c r="D225">
        <v>14.217550277709901</v>
      </c>
      <c r="E225">
        <v>10.867109298706</v>
      </c>
      <c r="F225">
        <v>21.0506381988525</v>
      </c>
    </row>
    <row r="226" spans="1:6" x14ac:dyDescent="0.2">
      <c r="A226" t="s">
        <v>17</v>
      </c>
      <c r="B226">
        <v>2010</v>
      </c>
      <c r="C226">
        <v>2014</v>
      </c>
      <c r="D226">
        <v>14.423843383789</v>
      </c>
      <c r="E226">
        <v>11.1075525283813</v>
      </c>
      <c r="F226">
        <v>21.401159286498999</v>
      </c>
    </row>
    <row r="227" spans="1:6" x14ac:dyDescent="0.2">
      <c r="A227" t="s">
        <v>17</v>
      </c>
      <c r="B227">
        <v>2015</v>
      </c>
      <c r="C227">
        <v>2019</v>
      </c>
      <c r="D227">
        <v>15.2850141525268</v>
      </c>
      <c r="E227">
        <v>12.041510581970201</v>
      </c>
      <c r="F227">
        <v>22.210308074951101</v>
      </c>
    </row>
    <row r="228" spans="1:6" x14ac:dyDescent="0.2">
      <c r="A228" t="s">
        <v>17</v>
      </c>
      <c r="B228">
        <v>2020</v>
      </c>
      <c r="C228">
        <v>2024</v>
      </c>
      <c r="D228">
        <v>15.025683403015099</v>
      </c>
      <c r="E228">
        <v>11.501213073730399</v>
      </c>
      <c r="F228">
        <v>22.529647827148398</v>
      </c>
    </row>
    <row r="229" spans="1:6" x14ac:dyDescent="0.2">
      <c r="A229" t="s">
        <v>17</v>
      </c>
      <c r="B229">
        <v>2025</v>
      </c>
      <c r="C229">
        <v>2029</v>
      </c>
      <c r="D229">
        <v>15.2747755050659</v>
      </c>
      <c r="E229">
        <v>11.8593654632568</v>
      </c>
      <c r="F229">
        <v>22.5260009765625</v>
      </c>
    </row>
    <row r="230" spans="1:6" x14ac:dyDescent="0.2">
      <c r="A230" t="s">
        <v>17</v>
      </c>
      <c r="B230">
        <v>2030</v>
      </c>
      <c r="C230">
        <v>2034</v>
      </c>
      <c r="D230">
        <v>14.731855392456</v>
      </c>
      <c r="E230">
        <v>11.1712837219238</v>
      </c>
      <c r="F230">
        <v>22.1731243133544</v>
      </c>
    </row>
    <row r="231" spans="1:6" x14ac:dyDescent="0.2">
      <c r="A231" t="s">
        <v>17</v>
      </c>
      <c r="B231">
        <v>2035</v>
      </c>
      <c r="C231">
        <v>2039</v>
      </c>
      <c r="D231">
        <v>15.747880935668899</v>
      </c>
      <c r="E231">
        <v>12.0316915512084</v>
      </c>
      <c r="F231">
        <v>23.423936843871999</v>
      </c>
    </row>
    <row r="232" spans="1:6" x14ac:dyDescent="0.2">
      <c r="A232" t="s">
        <v>17</v>
      </c>
      <c r="B232">
        <v>2040</v>
      </c>
      <c r="C232">
        <v>2044</v>
      </c>
      <c r="D232">
        <v>17.338024139404201</v>
      </c>
      <c r="E232">
        <v>14.0595178604125</v>
      </c>
      <c r="F232">
        <v>24.6087436676025</v>
      </c>
    </row>
    <row r="233" spans="1:6" x14ac:dyDescent="0.2">
      <c r="A233" t="s">
        <v>17</v>
      </c>
      <c r="B233">
        <v>2045</v>
      </c>
      <c r="C233">
        <v>2049</v>
      </c>
      <c r="D233">
        <v>16.106307983398398</v>
      </c>
      <c r="E233">
        <v>12.6170120239257</v>
      </c>
      <c r="F233">
        <v>23.5725288391113</v>
      </c>
    </row>
    <row r="234" spans="1:6" x14ac:dyDescent="0.2">
      <c r="A234" t="s">
        <v>17</v>
      </c>
      <c r="B234">
        <v>2050</v>
      </c>
      <c r="C234">
        <v>2054</v>
      </c>
      <c r="D234">
        <v>15.6167192459106</v>
      </c>
      <c r="E234">
        <v>11.9024047851562</v>
      </c>
      <c r="F234">
        <v>23.304893493652301</v>
      </c>
    </row>
    <row r="235" spans="1:6" x14ac:dyDescent="0.2">
      <c r="A235" t="s">
        <v>17</v>
      </c>
      <c r="B235">
        <v>2055</v>
      </c>
      <c r="C235">
        <v>2059</v>
      </c>
      <c r="D235">
        <v>15.374106407165501</v>
      </c>
      <c r="E235">
        <v>11.796805381774901</v>
      </c>
      <c r="F235">
        <v>22.637933731079102</v>
      </c>
    </row>
    <row r="236" spans="1:6" x14ac:dyDescent="0.2">
      <c r="A236" t="s">
        <v>17</v>
      </c>
      <c r="B236">
        <v>2060</v>
      </c>
      <c r="C236">
        <v>2064</v>
      </c>
      <c r="D236">
        <v>16.817262649536101</v>
      </c>
      <c r="E236">
        <v>13.3094835281372</v>
      </c>
      <c r="F236">
        <v>24.4101657867431</v>
      </c>
    </row>
    <row r="237" spans="1:6" x14ac:dyDescent="0.2">
      <c r="A237" t="s">
        <v>17</v>
      </c>
      <c r="B237">
        <v>2065</v>
      </c>
      <c r="C237">
        <v>2069</v>
      </c>
      <c r="D237">
        <v>17.411643981933501</v>
      </c>
      <c r="E237">
        <v>13.803758621215801</v>
      </c>
      <c r="F237">
        <v>25.201288223266602</v>
      </c>
    </row>
    <row r="238" spans="1:6" x14ac:dyDescent="0.2">
      <c r="A238" t="s">
        <v>17</v>
      </c>
      <c r="B238">
        <v>2070</v>
      </c>
      <c r="C238">
        <v>2074</v>
      </c>
      <c r="D238">
        <v>17.9912204742431</v>
      </c>
      <c r="E238">
        <v>14.428550720214799</v>
      </c>
      <c r="F238">
        <v>25.885175704956001</v>
      </c>
    </row>
    <row r="239" spans="1:6" x14ac:dyDescent="0.2">
      <c r="A239" t="s">
        <v>17</v>
      </c>
      <c r="B239">
        <v>2075</v>
      </c>
      <c r="C239">
        <v>2079</v>
      </c>
      <c r="D239">
        <v>16.316238403320298</v>
      </c>
      <c r="E239">
        <v>12.418348312377899</v>
      </c>
      <c r="F239">
        <v>24.506658554077099</v>
      </c>
    </row>
    <row r="240" spans="1:6" x14ac:dyDescent="0.2">
      <c r="A240" t="s">
        <v>17</v>
      </c>
      <c r="B240">
        <v>2080</v>
      </c>
      <c r="C240">
        <v>2084</v>
      </c>
      <c r="D240">
        <v>16.822921752929599</v>
      </c>
      <c r="E240">
        <v>12.8149509429931</v>
      </c>
      <c r="F240">
        <v>25.126592636108398</v>
      </c>
    </row>
    <row r="241" spans="1:6" x14ac:dyDescent="0.2">
      <c r="A241" t="s">
        <v>17</v>
      </c>
      <c r="B241">
        <v>2085</v>
      </c>
      <c r="C241">
        <v>2089</v>
      </c>
      <c r="D241">
        <v>17.5453281402587</v>
      </c>
      <c r="E241">
        <v>13.425107955932599</v>
      </c>
      <c r="F241">
        <v>26.171176910400298</v>
      </c>
    </row>
    <row r="242" spans="1:6" x14ac:dyDescent="0.2">
      <c r="A242" t="s">
        <v>17</v>
      </c>
      <c r="B242">
        <v>2090</v>
      </c>
      <c r="C242">
        <v>2094</v>
      </c>
      <c r="D242">
        <v>17.949199676513601</v>
      </c>
      <c r="E242">
        <v>13.9287614822387</v>
      </c>
      <c r="F242">
        <v>26.505144119262599</v>
      </c>
    </row>
    <row r="243" spans="1:6" x14ac:dyDescent="0.2">
      <c r="A243" t="s">
        <v>17</v>
      </c>
      <c r="B243">
        <v>2095</v>
      </c>
      <c r="C243">
        <v>2099</v>
      </c>
      <c r="D243">
        <v>17.468635559081999</v>
      </c>
      <c r="E243">
        <v>13.338768005371</v>
      </c>
      <c r="F243">
        <v>26.085002899169901</v>
      </c>
    </row>
    <row r="244" spans="1:6" x14ac:dyDescent="0.2">
      <c r="A244" t="s">
        <v>18</v>
      </c>
      <c r="B244">
        <v>1990</v>
      </c>
      <c r="C244">
        <v>1994</v>
      </c>
      <c r="D244">
        <v>1.9818577766418399</v>
      </c>
      <c r="E244">
        <v>1.87268149852752</v>
      </c>
      <c r="F244">
        <v>2.0697605609893799</v>
      </c>
    </row>
    <row r="245" spans="1:6" x14ac:dyDescent="0.2">
      <c r="A245" t="s">
        <v>18</v>
      </c>
      <c r="B245">
        <v>1995</v>
      </c>
      <c r="C245">
        <v>1999</v>
      </c>
      <c r="D245">
        <v>2.02356958389282</v>
      </c>
      <c r="E245">
        <v>1.84553158283233</v>
      </c>
      <c r="F245">
        <v>2.2457213401794398</v>
      </c>
    </row>
    <row r="246" spans="1:6" x14ac:dyDescent="0.2">
      <c r="A246" t="s">
        <v>18</v>
      </c>
      <c r="B246">
        <v>2000</v>
      </c>
      <c r="C246">
        <v>2004</v>
      </c>
      <c r="D246">
        <v>2.0830147266387899</v>
      </c>
      <c r="E246">
        <v>1.9779236316680899</v>
      </c>
      <c r="F246">
        <v>2.1507585048675502</v>
      </c>
    </row>
    <row r="247" spans="1:6" x14ac:dyDescent="0.2">
      <c r="A247" t="s">
        <v>18</v>
      </c>
      <c r="B247">
        <v>2005</v>
      </c>
      <c r="C247">
        <v>2009</v>
      </c>
      <c r="D247">
        <v>2.0475215911865199</v>
      </c>
      <c r="E247">
        <v>1.96946012973785</v>
      </c>
      <c r="F247">
        <v>2.07069516181945</v>
      </c>
    </row>
    <row r="248" spans="1:6" x14ac:dyDescent="0.2">
      <c r="A248" t="s">
        <v>18</v>
      </c>
      <c r="B248">
        <v>2010</v>
      </c>
      <c r="C248">
        <v>2014</v>
      </c>
      <c r="D248">
        <v>1.9257965087890601</v>
      </c>
      <c r="E248">
        <v>1.8119696378707799</v>
      </c>
      <c r="F248">
        <v>2.0479526519775302</v>
      </c>
    </row>
    <row r="249" spans="1:6" x14ac:dyDescent="0.2">
      <c r="A249" t="s">
        <v>18</v>
      </c>
      <c r="B249">
        <v>2015</v>
      </c>
      <c r="C249">
        <v>2019</v>
      </c>
      <c r="D249">
        <v>2.0069000720977699</v>
      </c>
      <c r="E249">
        <v>1.9301295280456501</v>
      </c>
      <c r="F249">
        <v>2.0455920696258501</v>
      </c>
    </row>
    <row r="250" spans="1:6" x14ac:dyDescent="0.2">
      <c r="A250" t="s">
        <v>18</v>
      </c>
      <c r="B250">
        <v>2020</v>
      </c>
      <c r="C250">
        <v>2024</v>
      </c>
      <c r="D250">
        <v>2.2123250961303702</v>
      </c>
      <c r="E250">
        <v>2.0871057510375901</v>
      </c>
      <c r="F250">
        <v>2.2956140041351301</v>
      </c>
    </row>
    <row r="251" spans="1:6" x14ac:dyDescent="0.2">
      <c r="A251" t="s">
        <v>18</v>
      </c>
      <c r="B251">
        <v>2025</v>
      </c>
      <c r="C251">
        <v>2029</v>
      </c>
      <c r="D251">
        <v>2.1300077438354399</v>
      </c>
      <c r="E251">
        <v>2.0232472419738698</v>
      </c>
      <c r="F251">
        <v>2.21161532402038</v>
      </c>
    </row>
    <row r="252" spans="1:6" x14ac:dyDescent="0.2">
      <c r="A252" t="s">
        <v>18</v>
      </c>
      <c r="B252">
        <v>2030</v>
      </c>
      <c r="C252">
        <v>2034</v>
      </c>
      <c r="D252">
        <v>2.3439533710479701</v>
      </c>
      <c r="E252">
        <v>2.1834352016448899</v>
      </c>
      <c r="F252">
        <v>2.5114688873290998</v>
      </c>
    </row>
    <row r="253" spans="1:6" x14ac:dyDescent="0.2">
      <c r="A253" t="s">
        <v>18</v>
      </c>
      <c r="B253">
        <v>2035</v>
      </c>
      <c r="C253">
        <v>2039</v>
      </c>
      <c r="D253">
        <v>2.34820079803466</v>
      </c>
      <c r="E253">
        <v>2.23047518730163</v>
      </c>
      <c r="F253">
        <v>2.43003797531127</v>
      </c>
    </row>
    <row r="254" spans="1:6" x14ac:dyDescent="0.2">
      <c r="A254" t="s">
        <v>18</v>
      </c>
      <c r="B254">
        <v>2040</v>
      </c>
      <c r="C254">
        <v>2044</v>
      </c>
      <c r="D254">
        <v>2.32695388793945</v>
      </c>
      <c r="E254">
        <v>2.1571400165557799</v>
      </c>
      <c r="F254">
        <v>2.4964354038238499</v>
      </c>
    </row>
    <row r="255" spans="1:6" x14ac:dyDescent="0.2">
      <c r="A255" t="s">
        <v>18</v>
      </c>
      <c r="B255">
        <v>2045</v>
      </c>
      <c r="C255">
        <v>2049</v>
      </c>
      <c r="D255">
        <v>2.3700938224792401</v>
      </c>
      <c r="E255">
        <v>2.2698712348937899</v>
      </c>
      <c r="F255">
        <v>2.4276707172393799</v>
      </c>
    </row>
    <row r="256" spans="1:6" x14ac:dyDescent="0.2">
      <c r="A256" t="s">
        <v>18</v>
      </c>
      <c r="B256">
        <v>2050</v>
      </c>
      <c r="C256">
        <v>2054</v>
      </c>
      <c r="D256">
        <v>2.3846087455749498</v>
      </c>
      <c r="E256">
        <v>2.2098255157470699</v>
      </c>
      <c r="F256">
        <v>2.5750551223754798</v>
      </c>
    </row>
    <row r="257" spans="1:6" x14ac:dyDescent="0.2">
      <c r="A257" t="s">
        <v>18</v>
      </c>
      <c r="B257">
        <v>2055</v>
      </c>
      <c r="C257">
        <v>2059</v>
      </c>
      <c r="D257">
        <v>2.11748123168945</v>
      </c>
      <c r="E257">
        <v>2.0283315181732098</v>
      </c>
      <c r="F257">
        <v>2.1879627704620299</v>
      </c>
    </row>
    <row r="258" spans="1:6" x14ac:dyDescent="0.2">
      <c r="A258" t="s">
        <v>18</v>
      </c>
      <c r="B258">
        <v>2060</v>
      </c>
      <c r="C258">
        <v>2064</v>
      </c>
      <c r="D258">
        <v>2.7958629131317099</v>
      </c>
      <c r="E258">
        <v>2.5929617881774898</v>
      </c>
      <c r="F258">
        <v>3.0365459918975799</v>
      </c>
    </row>
    <row r="259" spans="1:6" x14ac:dyDescent="0.2">
      <c r="A259" t="s">
        <v>18</v>
      </c>
      <c r="B259">
        <v>2065</v>
      </c>
      <c r="C259">
        <v>2069</v>
      </c>
      <c r="D259">
        <v>2.58471632003784</v>
      </c>
      <c r="E259">
        <v>2.4577972888946502</v>
      </c>
      <c r="F259">
        <v>2.6920998096465998</v>
      </c>
    </row>
    <row r="260" spans="1:6" x14ac:dyDescent="0.2">
      <c r="A260" t="s">
        <v>18</v>
      </c>
      <c r="B260">
        <v>2070</v>
      </c>
      <c r="C260">
        <v>2074</v>
      </c>
      <c r="D260">
        <v>2.6551556587219198</v>
      </c>
      <c r="E260">
        <v>2.4493029117584202</v>
      </c>
      <c r="F260">
        <v>2.8750984668731601</v>
      </c>
    </row>
    <row r="261" spans="1:6" x14ac:dyDescent="0.2">
      <c r="A261" t="s">
        <v>18</v>
      </c>
      <c r="B261">
        <v>2075</v>
      </c>
      <c r="C261">
        <v>2079</v>
      </c>
      <c r="D261">
        <v>2.6379745006561199</v>
      </c>
      <c r="E261">
        <v>2.4931361675262398</v>
      </c>
      <c r="F261">
        <v>2.7284283638000399</v>
      </c>
    </row>
    <row r="262" spans="1:6" x14ac:dyDescent="0.2">
      <c r="A262" t="s">
        <v>18</v>
      </c>
      <c r="B262">
        <v>2080</v>
      </c>
      <c r="C262">
        <v>2084</v>
      </c>
      <c r="D262">
        <v>2.7819147109985298</v>
      </c>
      <c r="E262">
        <v>2.6481370925903298</v>
      </c>
      <c r="F262">
        <v>2.8688941001892001</v>
      </c>
    </row>
    <row r="263" spans="1:6" x14ac:dyDescent="0.2">
      <c r="A263" t="s">
        <v>18</v>
      </c>
      <c r="B263">
        <v>2085</v>
      </c>
      <c r="C263">
        <v>2089</v>
      </c>
      <c r="D263">
        <v>2.8704955577850302</v>
      </c>
      <c r="E263">
        <v>2.68133544921875</v>
      </c>
      <c r="F263">
        <v>3.0611000061035099</v>
      </c>
    </row>
    <row r="264" spans="1:6" x14ac:dyDescent="0.2">
      <c r="A264" t="s">
        <v>18</v>
      </c>
      <c r="B264">
        <v>2090</v>
      </c>
      <c r="C264">
        <v>2094</v>
      </c>
      <c r="D264">
        <v>3.3105163574218701</v>
      </c>
      <c r="E264">
        <v>3.0903074741363499</v>
      </c>
      <c r="F264">
        <v>3.5430841445922798</v>
      </c>
    </row>
    <row r="265" spans="1:6" x14ac:dyDescent="0.2">
      <c r="A265" t="s">
        <v>18</v>
      </c>
      <c r="B265">
        <v>2095</v>
      </c>
      <c r="C265">
        <v>2099</v>
      </c>
      <c r="D265">
        <v>3.1355409622192298</v>
      </c>
      <c r="E265">
        <v>2.9010863304138099</v>
      </c>
      <c r="F265">
        <v>3.3947038650512602</v>
      </c>
    </row>
    <row r="266" spans="1:6" x14ac:dyDescent="0.2">
      <c r="A266" t="s">
        <v>19</v>
      </c>
      <c r="B266">
        <v>1990</v>
      </c>
      <c r="C266">
        <v>1994</v>
      </c>
      <c r="D266">
        <v>1.3601710796356199</v>
      </c>
      <c r="E266">
        <v>1.24327611923217</v>
      </c>
      <c r="F266">
        <v>1.38823914527893</v>
      </c>
    </row>
    <row r="267" spans="1:6" x14ac:dyDescent="0.2">
      <c r="A267" t="s">
        <v>19</v>
      </c>
      <c r="B267">
        <v>1995</v>
      </c>
      <c r="C267">
        <v>1999</v>
      </c>
      <c r="D267">
        <v>1.5170369148254299</v>
      </c>
      <c r="E267">
        <v>1.34485900402069</v>
      </c>
      <c r="F267">
        <v>1.5860112905502299</v>
      </c>
    </row>
    <row r="268" spans="1:6" x14ac:dyDescent="0.2">
      <c r="A268" t="s">
        <v>19</v>
      </c>
      <c r="B268">
        <v>2000</v>
      </c>
      <c r="C268">
        <v>2004</v>
      </c>
      <c r="D268">
        <v>1.4952691793441699</v>
      </c>
      <c r="E268">
        <v>1.2960413694381701</v>
      </c>
      <c r="F268">
        <v>1.61040794849395</v>
      </c>
    </row>
    <row r="269" spans="1:6" x14ac:dyDescent="0.2">
      <c r="A269" t="s">
        <v>19</v>
      </c>
      <c r="B269">
        <v>2005</v>
      </c>
      <c r="C269">
        <v>2009</v>
      </c>
      <c r="D269">
        <v>1.68099629878997</v>
      </c>
      <c r="E269">
        <v>1.40197777748107</v>
      </c>
      <c r="F269">
        <v>1.87199711799621</v>
      </c>
    </row>
    <row r="270" spans="1:6" x14ac:dyDescent="0.2">
      <c r="A270" t="s">
        <v>19</v>
      </c>
      <c r="B270">
        <v>2010</v>
      </c>
      <c r="C270">
        <v>2014</v>
      </c>
      <c r="D270">
        <v>1.5528415441512999</v>
      </c>
      <c r="E270">
        <v>1.4333696365356401</v>
      </c>
      <c r="F270">
        <v>1.5489044189453101</v>
      </c>
    </row>
    <row r="271" spans="1:6" x14ac:dyDescent="0.2">
      <c r="A271" t="s">
        <v>19</v>
      </c>
      <c r="B271">
        <v>2015</v>
      </c>
      <c r="C271">
        <v>2019</v>
      </c>
      <c r="D271">
        <v>1.48994529247283</v>
      </c>
      <c r="E271">
        <v>1.3516204357147199</v>
      </c>
      <c r="F271">
        <v>1.5187729597091599</v>
      </c>
    </row>
    <row r="272" spans="1:6" x14ac:dyDescent="0.2">
      <c r="A272" t="s">
        <v>19</v>
      </c>
      <c r="B272">
        <v>2020</v>
      </c>
      <c r="C272">
        <v>2024</v>
      </c>
      <c r="D272">
        <v>1.6393893957137999</v>
      </c>
      <c r="E272">
        <v>1.4350233078002901</v>
      </c>
      <c r="F272">
        <v>1.74907433986663</v>
      </c>
    </row>
    <row r="273" spans="1:6" x14ac:dyDescent="0.2">
      <c r="A273" t="s">
        <v>19</v>
      </c>
      <c r="B273">
        <v>2025</v>
      </c>
      <c r="C273">
        <v>2029</v>
      </c>
      <c r="D273">
        <v>1.51664578914642</v>
      </c>
      <c r="E273">
        <v>1.3448585271835301</v>
      </c>
      <c r="F273">
        <v>1.5992512702941799</v>
      </c>
    </row>
    <row r="274" spans="1:6" x14ac:dyDescent="0.2">
      <c r="A274" t="s">
        <v>19</v>
      </c>
      <c r="B274">
        <v>2030</v>
      </c>
      <c r="C274">
        <v>2034</v>
      </c>
      <c r="D274">
        <v>1.56366515159606</v>
      </c>
      <c r="E274">
        <v>1.33643174171447</v>
      </c>
      <c r="F274">
        <v>1.6852822303771899</v>
      </c>
    </row>
    <row r="275" spans="1:6" x14ac:dyDescent="0.2">
      <c r="A275" t="s">
        <v>19</v>
      </c>
      <c r="B275">
        <v>2035</v>
      </c>
      <c r="C275">
        <v>2039</v>
      </c>
      <c r="D275">
        <v>1.9859116077423</v>
      </c>
      <c r="E275">
        <v>1.7476991415023799</v>
      </c>
      <c r="F275">
        <v>2.0900716781616202</v>
      </c>
    </row>
    <row r="276" spans="1:6" x14ac:dyDescent="0.2">
      <c r="A276" t="s">
        <v>19</v>
      </c>
      <c r="B276">
        <v>2040</v>
      </c>
      <c r="C276">
        <v>2044</v>
      </c>
      <c r="D276">
        <v>1.9511628150939899</v>
      </c>
      <c r="E276">
        <v>1.7318021059036199</v>
      </c>
      <c r="F276">
        <v>2.03834629058837</v>
      </c>
    </row>
    <row r="277" spans="1:6" x14ac:dyDescent="0.2">
      <c r="A277" t="s">
        <v>19</v>
      </c>
      <c r="B277">
        <v>2045</v>
      </c>
      <c r="C277">
        <v>2049</v>
      </c>
      <c r="D277">
        <v>1.7419906854629501</v>
      </c>
      <c r="E277">
        <v>1.5888135433196999</v>
      </c>
      <c r="F277">
        <v>1.76271831989288</v>
      </c>
    </row>
    <row r="278" spans="1:6" x14ac:dyDescent="0.2">
      <c r="A278" t="s">
        <v>19</v>
      </c>
      <c r="B278">
        <v>2050</v>
      </c>
      <c r="C278">
        <v>2054</v>
      </c>
      <c r="D278">
        <v>1.92089223861694</v>
      </c>
      <c r="E278">
        <v>1.5745718479156401</v>
      </c>
      <c r="F278">
        <v>2.1779892444610498</v>
      </c>
    </row>
    <row r="279" spans="1:6" x14ac:dyDescent="0.2">
      <c r="A279" t="s">
        <v>19</v>
      </c>
      <c r="B279">
        <v>2055</v>
      </c>
      <c r="C279">
        <v>2059</v>
      </c>
      <c r="D279">
        <v>1.9322220087051301</v>
      </c>
      <c r="E279">
        <v>1.6137654781341499</v>
      </c>
      <c r="F279">
        <v>2.1374642848968501</v>
      </c>
    </row>
    <row r="280" spans="1:6" x14ac:dyDescent="0.2">
      <c r="A280" t="s">
        <v>19</v>
      </c>
      <c r="B280">
        <v>2060</v>
      </c>
      <c r="C280">
        <v>2064</v>
      </c>
      <c r="D280">
        <v>2.1230301856994598</v>
      </c>
      <c r="E280">
        <v>1.80153548717498</v>
      </c>
      <c r="F280">
        <v>2.3070936203002899</v>
      </c>
    </row>
    <row r="281" spans="1:6" x14ac:dyDescent="0.2">
      <c r="A281" t="s">
        <v>19</v>
      </c>
      <c r="B281">
        <v>2065</v>
      </c>
      <c r="C281">
        <v>2069</v>
      </c>
      <c r="D281">
        <v>2.3071968555450399</v>
      </c>
      <c r="E281">
        <v>1.9549467563629099</v>
      </c>
      <c r="F281">
        <v>2.5322961807250901</v>
      </c>
    </row>
    <row r="282" spans="1:6" x14ac:dyDescent="0.2">
      <c r="A282" t="s">
        <v>19</v>
      </c>
      <c r="B282">
        <v>2070</v>
      </c>
      <c r="C282">
        <v>2074</v>
      </c>
      <c r="D282">
        <v>2.16033911705017</v>
      </c>
      <c r="E282">
        <v>1.89708459377288</v>
      </c>
      <c r="F282">
        <v>2.27287602424621</v>
      </c>
    </row>
    <row r="283" spans="1:6" x14ac:dyDescent="0.2">
      <c r="A283" t="s">
        <v>19</v>
      </c>
      <c r="B283">
        <v>2075</v>
      </c>
      <c r="C283">
        <v>2079</v>
      </c>
      <c r="D283">
        <v>2.1305024623870801</v>
      </c>
      <c r="E283">
        <v>1.7944298982620199</v>
      </c>
      <c r="F283">
        <v>2.34634041786193</v>
      </c>
    </row>
    <row r="284" spans="1:6" x14ac:dyDescent="0.2">
      <c r="A284" t="s">
        <v>19</v>
      </c>
      <c r="B284">
        <v>2080</v>
      </c>
      <c r="C284">
        <v>2084</v>
      </c>
      <c r="D284">
        <v>2.67714118957519</v>
      </c>
      <c r="E284">
        <v>2.3150787353515598</v>
      </c>
      <c r="F284">
        <v>2.8650748729705802</v>
      </c>
    </row>
    <row r="285" spans="1:6" x14ac:dyDescent="0.2">
      <c r="A285" t="s">
        <v>19</v>
      </c>
      <c r="B285">
        <v>2085</v>
      </c>
      <c r="C285">
        <v>2089</v>
      </c>
      <c r="D285">
        <v>2.6392281055450399</v>
      </c>
      <c r="E285">
        <v>2.2125570774078298</v>
      </c>
      <c r="F285">
        <v>2.9281489849090501</v>
      </c>
    </row>
    <row r="286" spans="1:6" x14ac:dyDescent="0.2">
      <c r="A286" t="s">
        <v>19</v>
      </c>
      <c r="B286">
        <v>2090</v>
      </c>
      <c r="C286">
        <v>2094</v>
      </c>
      <c r="D286">
        <v>2.2507698535919101</v>
      </c>
      <c r="E286">
        <v>1.94960212707519</v>
      </c>
      <c r="F286">
        <v>2.3944120407104399</v>
      </c>
    </row>
    <row r="287" spans="1:6" x14ac:dyDescent="0.2">
      <c r="A287" t="s">
        <v>19</v>
      </c>
      <c r="B287">
        <v>2095</v>
      </c>
      <c r="C287">
        <v>2099</v>
      </c>
      <c r="D287">
        <v>2.5857584476470898</v>
      </c>
      <c r="E287">
        <v>2.1258277893066402</v>
      </c>
      <c r="F287">
        <v>2.90468430519104</v>
      </c>
    </row>
    <row r="288" spans="1:6" x14ac:dyDescent="0.2">
      <c r="A288" t="s">
        <v>20</v>
      </c>
      <c r="B288">
        <v>1990</v>
      </c>
      <c r="C288">
        <v>1994</v>
      </c>
      <c r="D288">
        <v>7.2144517898559499</v>
      </c>
      <c r="E288">
        <v>5.5578484535217196</v>
      </c>
      <c r="F288">
        <v>11.1756038665771</v>
      </c>
    </row>
    <row r="289" spans="1:6" x14ac:dyDescent="0.2">
      <c r="A289" t="s">
        <v>20</v>
      </c>
      <c r="B289">
        <v>1995</v>
      </c>
      <c r="C289">
        <v>1999</v>
      </c>
      <c r="D289">
        <v>7.7708997726440403</v>
      </c>
      <c r="E289">
        <v>6.2011198997497496</v>
      </c>
      <c r="F289">
        <v>11.5747299194335</v>
      </c>
    </row>
    <row r="290" spans="1:6" x14ac:dyDescent="0.2">
      <c r="A290" t="s">
        <v>20</v>
      </c>
      <c r="B290">
        <v>2000</v>
      </c>
      <c r="C290">
        <v>2004</v>
      </c>
      <c r="D290">
        <v>8.3645038604736293</v>
      </c>
      <c r="E290">
        <v>6.5633921623229901</v>
      </c>
      <c r="F290">
        <v>12.736314773559499</v>
      </c>
    </row>
    <row r="291" spans="1:6" x14ac:dyDescent="0.2">
      <c r="A291" t="s">
        <v>20</v>
      </c>
      <c r="B291">
        <v>2005</v>
      </c>
      <c r="C291">
        <v>2009</v>
      </c>
      <c r="D291">
        <v>7.2289786338806099</v>
      </c>
      <c r="E291">
        <v>5.6574778556823704</v>
      </c>
      <c r="F291">
        <v>11.016655921936</v>
      </c>
    </row>
    <row r="292" spans="1:6" x14ac:dyDescent="0.2">
      <c r="A292" t="s">
        <v>20</v>
      </c>
      <c r="B292">
        <v>2010</v>
      </c>
      <c r="C292">
        <v>2014</v>
      </c>
      <c r="D292">
        <v>8.4031047821044904</v>
      </c>
      <c r="E292">
        <v>6.5652055740356401</v>
      </c>
      <c r="F292">
        <v>12.896933555603001</v>
      </c>
    </row>
    <row r="293" spans="1:6" x14ac:dyDescent="0.2">
      <c r="A293" t="s">
        <v>20</v>
      </c>
      <c r="B293">
        <v>2015</v>
      </c>
      <c r="C293">
        <v>2019</v>
      </c>
      <c r="D293">
        <v>8.4798011779785103</v>
      </c>
      <c r="E293">
        <v>6.6668624877929599</v>
      </c>
      <c r="F293">
        <v>12.853257179260201</v>
      </c>
    </row>
    <row r="294" spans="1:6" x14ac:dyDescent="0.2">
      <c r="A294" t="s">
        <v>20</v>
      </c>
      <c r="B294">
        <v>2020</v>
      </c>
      <c r="C294">
        <v>2024</v>
      </c>
      <c r="D294">
        <v>8.19569492340087</v>
      </c>
      <c r="E294">
        <v>6.4218068122863698</v>
      </c>
      <c r="F294">
        <v>12.4874553680419</v>
      </c>
    </row>
    <row r="295" spans="1:6" x14ac:dyDescent="0.2">
      <c r="A295" t="s">
        <v>20</v>
      </c>
      <c r="B295">
        <v>2025</v>
      </c>
      <c r="C295">
        <v>2029</v>
      </c>
      <c r="D295">
        <v>8.2712821960449201</v>
      </c>
      <c r="E295">
        <v>6.4272642135620099</v>
      </c>
      <c r="F295">
        <v>12.664868354797299</v>
      </c>
    </row>
    <row r="296" spans="1:6" x14ac:dyDescent="0.2">
      <c r="A296" t="s">
        <v>20</v>
      </c>
      <c r="B296">
        <v>2030</v>
      </c>
      <c r="C296">
        <v>2034</v>
      </c>
      <c r="D296">
        <v>8.39039707183837</v>
      </c>
      <c r="E296">
        <v>6.6646547317504803</v>
      </c>
      <c r="F296">
        <v>12.5450382232666</v>
      </c>
    </row>
    <row r="297" spans="1:6" x14ac:dyDescent="0.2">
      <c r="A297" t="s">
        <v>20</v>
      </c>
      <c r="B297">
        <v>2035</v>
      </c>
      <c r="C297">
        <v>2039</v>
      </c>
      <c r="D297">
        <v>8.4341211318969709</v>
      </c>
      <c r="E297">
        <v>6.6560640335082999</v>
      </c>
      <c r="F297">
        <v>12.6918678283691</v>
      </c>
    </row>
    <row r="298" spans="1:6" x14ac:dyDescent="0.2">
      <c r="A298" t="s">
        <v>20</v>
      </c>
      <c r="B298">
        <v>2040</v>
      </c>
      <c r="C298">
        <v>2044</v>
      </c>
      <c r="D298">
        <v>9.0503549575805593</v>
      </c>
      <c r="E298">
        <v>7.12271976470947</v>
      </c>
      <c r="F298">
        <v>13.7747955322265</v>
      </c>
    </row>
    <row r="299" spans="1:6" x14ac:dyDescent="0.2">
      <c r="A299" t="s">
        <v>20</v>
      </c>
      <c r="B299">
        <v>2045</v>
      </c>
      <c r="C299">
        <v>2049</v>
      </c>
      <c r="D299">
        <v>9.0383148193359304</v>
      </c>
      <c r="E299">
        <v>7.1492328643798801</v>
      </c>
      <c r="F299">
        <v>13.6236515045166</v>
      </c>
    </row>
    <row r="300" spans="1:6" x14ac:dyDescent="0.2">
      <c r="A300" t="s">
        <v>20</v>
      </c>
      <c r="B300">
        <v>2050</v>
      </c>
      <c r="C300">
        <v>2054</v>
      </c>
      <c r="D300">
        <v>8.7735462188720703</v>
      </c>
      <c r="E300">
        <v>6.8326563835143999</v>
      </c>
      <c r="F300">
        <v>13.444338798522899</v>
      </c>
    </row>
    <row r="301" spans="1:6" x14ac:dyDescent="0.2">
      <c r="A301" t="s">
        <v>20</v>
      </c>
      <c r="B301">
        <v>2055</v>
      </c>
      <c r="C301">
        <v>2059</v>
      </c>
      <c r="D301">
        <v>8.6476783752441406</v>
      </c>
      <c r="E301">
        <v>6.7410044670104901</v>
      </c>
      <c r="F301">
        <v>13.2284488677978</v>
      </c>
    </row>
    <row r="302" spans="1:6" x14ac:dyDescent="0.2">
      <c r="A302" t="s">
        <v>20</v>
      </c>
      <c r="B302">
        <v>2060</v>
      </c>
      <c r="C302">
        <v>2064</v>
      </c>
      <c r="D302">
        <v>9.43916416168212</v>
      </c>
      <c r="E302">
        <v>7.45963335037231</v>
      </c>
      <c r="F302">
        <v>14.163138389587401</v>
      </c>
    </row>
    <row r="303" spans="1:6" x14ac:dyDescent="0.2">
      <c r="A303" t="s">
        <v>20</v>
      </c>
      <c r="B303">
        <v>2065</v>
      </c>
      <c r="C303">
        <v>2069</v>
      </c>
      <c r="D303">
        <v>9.7314567565917898</v>
      </c>
      <c r="E303">
        <v>7.6682825088500897</v>
      </c>
      <c r="F303">
        <v>14.749033927917401</v>
      </c>
    </row>
    <row r="304" spans="1:6" x14ac:dyDescent="0.2">
      <c r="A304" t="s">
        <v>20</v>
      </c>
      <c r="B304">
        <v>2070</v>
      </c>
      <c r="C304">
        <v>2074</v>
      </c>
      <c r="D304">
        <v>8.9492216110229492</v>
      </c>
      <c r="E304">
        <v>6.9129910469055096</v>
      </c>
      <c r="F304">
        <v>13.7851514816284</v>
      </c>
    </row>
    <row r="305" spans="1:6" x14ac:dyDescent="0.2">
      <c r="A305" t="s">
        <v>20</v>
      </c>
      <c r="B305">
        <v>2075</v>
      </c>
      <c r="C305">
        <v>2079</v>
      </c>
      <c r="D305">
        <v>9.3450069427490199</v>
      </c>
      <c r="E305">
        <v>7.3462963104248002</v>
      </c>
      <c r="F305">
        <v>14.1864566802978</v>
      </c>
    </row>
    <row r="306" spans="1:6" x14ac:dyDescent="0.2">
      <c r="A306" t="s">
        <v>20</v>
      </c>
      <c r="B306">
        <v>2080</v>
      </c>
      <c r="C306">
        <v>2084</v>
      </c>
      <c r="D306">
        <v>9.2694463729858398</v>
      </c>
      <c r="E306">
        <v>7.3974876403808496</v>
      </c>
      <c r="F306">
        <v>13.7983341217041</v>
      </c>
    </row>
    <row r="307" spans="1:6" x14ac:dyDescent="0.2">
      <c r="A307" t="s">
        <v>20</v>
      </c>
      <c r="B307">
        <v>2085</v>
      </c>
      <c r="C307">
        <v>2089</v>
      </c>
      <c r="D307">
        <v>8.9201126098632795</v>
      </c>
      <c r="E307">
        <v>6.9924440383911097</v>
      </c>
      <c r="F307">
        <v>13.546144485473601</v>
      </c>
    </row>
    <row r="308" spans="1:6" x14ac:dyDescent="0.2">
      <c r="A308" t="s">
        <v>20</v>
      </c>
      <c r="B308">
        <v>2090</v>
      </c>
      <c r="C308">
        <v>2094</v>
      </c>
      <c r="D308">
        <v>9.6047544479370099</v>
      </c>
      <c r="E308">
        <v>7.5556492805480904</v>
      </c>
      <c r="F308">
        <v>14.542623519897401</v>
      </c>
    </row>
    <row r="309" spans="1:6" x14ac:dyDescent="0.2">
      <c r="A309" t="s">
        <v>20</v>
      </c>
      <c r="B309">
        <v>2095</v>
      </c>
      <c r="C309">
        <v>2099</v>
      </c>
      <c r="D309">
        <v>9.2808008193969709</v>
      </c>
      <c r="E309">
        <v>7.2837018966674796</v>
      </c>
      <c r="F309">
        <v>14.1255950927734</v>
      </c>
    </row>
    <row r="310" spans="1:6" x14ac:dyDescent="0.2">
      <c r="A310" t="s">
        <v>21</v>
      </c>
      <c r="B310">
        <v>1990</v>
      </c>
      <c r="C310">
        <v>1994</v>
      </c>
      <c r="D310">
        <v>6.7551460266113201</v>
      </c>
      <c r="E310">
        <v>5.8730802536010698</v>
      </c>
      <c r="F310">
        <v>9.4227437973022408</v>
      </c>
    </row>
    <row r="311" spans="1:6" x14ac:dyDescent="0.2">
      <c r="A311" t="s">
        <v>21</v>
      </c>
      <c r="B311">
        <v>1995</v>
      </c>
      <c r="C311">
        <v>1999</v>
      </c>
      <c r="D311">
        <v>6.8397622108459402</v>
      </c>
      <c r="E311">
        <v>5.9692025184631303</v>
      </c>
      <c r="F311">
        <v>9.4685401916503906</v>
      </c>
    </row>
    <row r="312" spans="1:6" x14ac:dyDescent="0.2">
      <c r="A312" t="s">
        <v>21</v>
      </c>
      <c r="B312">
        <v>2000</v>
      </c>
      <c r="C312">
        <v>2004</v>
      </c>
      <c r="D312">
        <v>6.8771548271179199</v>
      </c>
      <c r="E312">
        <v>6.0235462188720703</v>
      </c>
      <c r="F312">
        <v>9.4434604644775302</v>
      </c>
    </row>
    <row r="313" spans="1:6" x14ac:dyDescent="0.2">
      <c r="A313" t="s">
        <v>21</v>
      </c>
      <c r="B313">
        <v>2005</v>
      </c>
      <c r="C313">
        <v>2009</v>
      </c>
      <c r="D313">
        <v>7.1873064041137598</v>
      </c>
      <c r="E313">
        <v>6.4037570953369096</v>
      </c>
      <c r="F313">
        <v>9.5941905975341797</v>
      </c>
    </row>
    <row r="314" spans="1:6" x14ac:dyDescent="0.2">
      <c r="A314" t="s">
        <v>21</v>
      </c>
      <c r="B314">
        <v>2010</v>
      </c>
      <c r="C314">
        <v>2014</v>
      </c>
      <c r="D314">
        <v>7.1652240753173801</v>
      </c>
      <c r="E314">
        <v>6.2631549835204998</v>
      </c>
      <c r="F314">
        <v>9.8523006439208896</v>
      </c>
    </row>
    <row r="315" spans="1:6" x14ac:dyDescent="0.2">
      <c r="A315" t="s">
        <v>21</v>
      </c>
      <c r="B315">
        <v>2015</v>
      </c>
      <c r="C315">
        <v>2019</v>
      </c>
      <c r="D315">
        <v>7.44846391677856</v>
      </c>
      <c r="E315">
        <v>6.5937514305114702</v>
      </c>
      <c r="F315">
        <v>10.0082292556762</v>
      </c>
    </row>
    <row r="316" spans="1:6" x14ac:dyDescent="0.2">
      <c r="A316" t="s">
        <v>21</v>
      </c>
      <c r="B316">
        <v>2020</v>
      </c>
      <c r="C316">
        <v>2024</v>
      </c>
      <c r="D316">
        <v>7.5807394981384197</v>
      </c>
      <c r="E316">
        <v>6.6711263656616202</v>
      </c>
      <c r="F316">
        <v>10.287726402282701</v>
      </c>
    </row>
    <row r="317" spans="1:6" x14ac:dyDescent="0.2">
      <c r="A317" t="s">
        <v>21</v>
      </c>
      <c r="B317">
        <v>2025</v>
      </c>
      <c r="C317">
        <v>2029</v>
      </c>
      <c r="D317">
        <v>7.2860298156738201</v>
      </c>
      <c r="E317">
        <v>6.42427635192871</v>
      </c>
      <c r="F317">
        <v>9.7822742462158203</v>
      </c>
    </row>
    <row r="318" spans="1:6" x14ac:dyDescent="0.2">
      <c r="A318" t="s">
        <v>21</v>
      </c>
      <c r="B318">
        <v>2030</v>
      </c>
      <c r="C318">
        <v>2034</v>
      </c>
      <c r="D318">
        <v>8.1363449096679599</v>
      </c>
      <c r="E318">
        <v>7.2096786499023402</v>
      </c>
      <c r="F318">
        <v>10.922903060913001</v>
      </c>
    </row>
    <row r="319" spans="1:6" x14ac:dyDescent="0.2">
      <c r="A319" t="s">
        <v>21</v>
      </c>
      <c r="B319">
        <v>2035</v>
      </c>
      <c r="C319">
        <v>2039</v>
      </c>
      <c r="D319">
        <v>8.7898902893066406</v>
      </c>
      <c r="E319">
        <v>7.8567185401916504</v>
      </c>
      <c r="F319">
        <v>11.761629104614199</v>
      </c>
    </row>
    <row r="320" spans="1:6" x14ac:dyDescent="0.2">
      <c r="A320" t="s">
        <v>21</v>
      </c>
      <c r="B320">
        <v>2040</v>
      </c>
      <c r="C320">
        <v>2044</v>
      </c>
      <c r="D320">
        <v>8.3732023239135707</v>
      </c>
      <c r="E320">
        <v>7.36799716949462</v>
      </c>
      <c r="F320">
        <v>11.4026174545288</v>
      </c>
    </row>
    <row r="321" spans="1:6" x14ac:dyDescent="0.2">
      <c r="A321" t="s">
        <v>21</v>
      </c>
      <c r="B321">
        <v>2045</v>
      </c>
      <c r="C321">
        <v>2049</v>
      </c>
      <c r="D321">
        <v>8.32411384582519</v>
      </c>
      <c r="E321">
        <v>7.3494539260864196</v>
      </c>
      <c r="F321">
        <v>11.1886835098266</v>
      </c>
    </row>
    <row r="322" spans="1:6" x14ac:dyDescent="0.2">
      <c r="A322" t="s">
        <v>21</v>
      </c>
      <c r="B322">
        <v>2050</v>
      </c>
      <c r="C322">
        <v>2054</v>
      </c>
      <c r="D322">
        <v>8.5002164840698207</v>
      </c>
      <c r="E322">
        <v>7.5917601585388104</v>
      </c>
      <c r="F322">
        <v>11.194652557373001</v>
      </c>
    </row>
    <row r="323" spans="1:6" x14ac:dyDescent="0.2">
      <c r="A323" t="s">
        <v>21</v>
      </c>
      <c r="B323">
        <v>2055</v>
      </c>
      <c r="C323">
        <v>2059</v>
      </c>
      <c r="D323">
        <v>9.0697240829467702</v>
      </c>
      <c r="E323">
        <v>8.0898323059081996</v>
      </c>
      <c r="F323">
        <v>12.0132799148559</v>
      </c>
    </row>
    <row r="324" spans="1:6" x14ac:dyDescent="0.2">
      <c r="A324" t="s">
        <v>21</v>
      </c>
      <c r="B324">
        <v>2060</v>
      </c>
      <c r="C324">
        <v>2064</v>
      </c>
      <c r="D324">
        <v>8.6280145645141602</v>
      </c>
      <c r="E324">
        <v>7.6345920562744096</v>
      </c>
      <c r="F324">
        <v>11.451665878295801</v>
      </c>
    </row>
    <row r="325" spans="1:6" x14ac:dyDescent="0.2">
      <c r="A325" t="s">
        <v>21</v>
      </c>
      <c r="B325">
        <v>2065</v>
      </c>
      <c r="C325">
        <v>2069</v>
      </c>
      <c r="D325">
        <v>9.0681514739990199</v>
      </c>
      <c r="E325">
        <v>8.0128698348999006</v>
      </c>
      <c r="F325">
        <v>12.1841917037963</v>
      </c>
    </row>
    <row r="326" spans="1:6" x14ac:dyDescent="0.2">
      <c r="A326" t="s">
        <v>21</v>
      </c>
      <c r="B326">
        <v>2070</v>
      </c>
      <c r="C326">
        <v>2074</v>
      </c>
      <c r="D326">
        <v>9.2460517883300692</v>
      </c>
      <c r="E326">
        <v>8.2914390563964808</v>
      </c>
      <c r="F326">
        <v>12.126799583435</v>
      </c>
    </row>
    <row r="327" spans="1:6" x14ac:dyDescent="0.2">
      <c r="A327" t="s">
        <v>21</v>
      </c>
      <c r="B327">
        <v>2075</v>
      </c>
      <c r="C327">
        <v>2079</v>
      </c>
      <c r="D327">
        <v>9.7115354537963796</v>
      </c>
      <c r="E327">
        <v>8.6758270263671804</v>
      </c>
      <c r="F327">
        <v>12.8213243484497</v>
      </c>
    </row>
    <row r="328" spans="1:6" x14ac:dyDescent="0.2">
      <c r="A328" t="s">
        <v>21</v>
      </c>
      <c r="B328">
        <v>2080</v>
      </c>
      <c r="C328">
        <v>2084</v>
      </c>
      <c r="D328">
        <v>9.5466012954711896</v>
      </c>
      <c r="E328">
        <v>8.5089683532714808</v>
      </c>
      <c r="F328">
        <v>12.537803649902299</v>
      </c>
    </row>
    <row r="329" spans="1:6" x14ac:dyDescent="0.2">
      <c r="A329" t="s">
        <v>21</v>
      </c>
      <c r="B329">
        <v>2085</v>
      </c>
      <c r="C329">
        <v>2089</v>
      </c>
      <c r="D329">
        <v>10.4586925506591</v>
      </c>
      <c r="E329">
        <v>9.4415435791015607</v>
      </c>
      <c r="F329">
        <v>13.5705518722534</v>
      </c>
    </row>
    <row r="330" spans="1:6" x14ac:dyDescent="0.2">
      <c r="A330" t="s">
        <v>21</v>
      </c>
      <c r="B330">
        <v>2090</v>
      </c>
      <c r="C330">
        <v>2094</v>
      </c>
      <c r="D330">
        <v>10.5074758529663</v>
      </c>
      <c r="E330">
        <v>9.5597419738769496</v>
      </c>
      <c r="F330">
        <v>13.359509468078601</v>
      </c>
    </row>
    <row r="331" spans="1:6" x14ac:dyDescent="0.2">
      <c r="A331" t="s">
        <v>21</v>
      </c>
      <c r="B331">
        <v>2095</v>
      </c>
      <c r="C331">
        <v>2099</v>
      </c>
      <c r="D331">
        <v>10.8604736328125</v>
      </c>
      <c r="E331">
        <v>9.9112768173217702</v>
      </c>
      <c r="F331">
        <v>13.7273616790771</v>
      </c>
    </row>
    <row r="332" spans="1:6" x14ac:dyDescent="0.2">
      <c r="A332" t="s">
        <v>22</v>
      </c>
      <c r="B332">
        <v>1990</v>
      </c>
      <c r="C332">
        <v>1994</v>
      </c>
      <c r="D332">
        <v>7.8406391620635896</v>
      </c>
      <c r="E332">
        <v>6.4780826171239196</v>
      </c>
      <c r="F332">
        <v>10.926471424102701</v>
      </c>
    </row>
    <row r="333" spans="1:6" x14ac:dyDescent="0.2">
      <c r="A333" t="s">
        <v>22</v>
      </c>
      <c r="B333">
        <v>1995</v>
      </c>
      <c r="C333">
        <v>1999</v>
      </c>
      <c r="D333">
        <v>8.2816695531209295</v>
      </c>
      <c r="E333">
        <v>6.8695800781249998</v>
      </c>
      <c r="F333">
        <v>11.530269805590301</v>
      </c>
    </row>
    <row r="334" spans="1:6" x14ac:dyDescent="0.2">
      <c r="A334" t="s">
        <v>22</v>
      </c>
      <c r="B334">
        <v>2000</v>
      </c>
      <c r="C334">
        <v>2004</v>
      </c>
      <c r="D334">
        <v>8.4041224241256707</v>
      </c>
      <c r="E334">
        <v>6.9494762818018598</v>
      </c>
      <c r="F334">
        <v>11.7075754086176</v>
      </c>
    </row>
    <row r="335" spans="1:6" x14ac:dyDescent="0.2">
      <c r="A335" t="s">
        <v>22</v>
      </c>
      <c r="B335">
        <v>2005</v>
      </c>
      <c r="C335">
        <v>2009</v>
      </c>
      <c r="D335">
        <v>8.3293742418289192</v>
      </c>
      <c r="E335">
        <v>6.89993765354156</v>
      </c>
      <c r="F335">
        <v>11.5765512784322</v>
      </c>
    </row>
    <row r="336" spans="1:6" x14ac:dyDescent="0.2">
      <c r="A336" t="s">
        <v>22</v>
      </c>
      <c r="B336">
        <v>2010</v>
      </c>
      <c r="C336">
        <v>2014</v>
      </c>
      <c r="D336">
        <v>8.6051411867141692</v>
      </c>
      <c r="E336">
        <v>7.14614196618398</v>
      </c>
      <c r="F336">
        <v>11.9657293319702</v>
      </c>
    </row>
    <row r="337" spans="1:6" x14ac:dyDescent="0.2">
      <c r="A337" t="s">
        <v>22</v>
      </c>
      <c r="B337">
        <v>2015</v>
      </c>
      <c r="C337">
        <v>2019</v>
      </c>
      <c r="D337">
        <v>8.7045241435368794</v>
      </c>
      <c r="E337">
        <v>7.2556633472442602</v>
      </c>
      <c r="F337">
        <v>12.0483581940333</v>
      </c>
    </row>
    <row r="338" spans="1:6" x14ac:dyDescent="0.2">
      <c r="A338" t="s">
        <v>22</v>
      </c>
      <c r="B338">
        <v>2020</v>
      </c>
      <c r="C338">
        <v>2024</v>
      </c>
      <c r="D338">
        <v>8.8533283789952595</v>
      </c>
      <c r="E338">
        <v>7.3795010248819901</v>
      </c>
      <c r="F338">
        <v>12.2533313830693</v>
      </c>
    </row>
    <row r="339" spans="1:6" x14ac:dyDescent="0.2">
      <c r="A339" t="s">
        <v>22</v>
      </c>
      <c r="B339">
        <v>2025</v>
      </c>
      <c r="C339">
        <v>2029</v>
      </c>
      <c r="D339">
        <v>8.9181641181309992</v>
      </c>
      <c r="E339">
        <v>7.4253222068150802</v>
      </c>
      <c r="F339">
        <v>12.348981682459501</v>
      </c>
    </row>
    <row r="340" spans="1:6" x14ac:dyDescent="0.2">
      <c r="A340" t="s">
        <v>22</v>
      </c>
      <c r="B340">
        <v>2030</v>
      </c>
      <c r="C340">
        <v>2034</v>
      </c>
      <c r="D340">
        <v>8.9785811424255293</v>
      </c>
      <c r="E340">
        <v>7.46999400456746</v>
      </c>
      <c r="F340">
        <v>12.441924254099501</v>
      </c>
    </row>
    <row r="341" spans="1:6" x14ac:dyDescent="0.2">
      <c r="A341" t="s">
        <v>22</v>
      </c>
      <c r="B341">
        <v>2035</v>
      </c>
      <c r="C341">
        <v>2039</v>
      </c>
      <c r="D341">
        <v>9.2952757676442399</v>
      </c>
      <c r="E341">
        <v>7.75692451000213</v>
      </c>
      <c r="F341">
        <v>12.8231985410054</v>
      </c>
    </row>
    <row r="342" spans="1:6" x14ac:dyDescent="0.2">
      <c r="A342" t="s">
        <v>22</v>
      </c>
      <c r="B342">
        <v>2040</v>
      </c>
      <c r="C342">
        <v>2044</v>
      </c>
      <c r="D342">
        <v>9.4545156796773195</v>
      </c>
      <c r="E342">
        <v>7.9167188564936302</v>
      </c>
      <c r="F342">
        <v>13.0184938589731</v>
      </c>
    </row>
    <row r="343" spans="1:6" x14ac:dyDescent="0.2">
      <c r="A343" t="s">
        <v>22</v>
      </c>
      <c r="B343">
        <v>2045</v>
      </c>
      <c r="C343">
        <v>2049</v>
      </c>
      <c r="D343">
        <v>9.5472697337468393</v>
      </c>
      <c r="E343">
        <v>7.9535233974456698</v>
      </c>
      <c r="F343">
        <v>13.225910909970599</v>
      </c>
    </row>
    <row r="344" spans="1:6" x14ac:dyDescent="0.2">
      <c r="A344" t="s">
        <v>22</v>
      </c>
      <c r="B344">
        <v>2050</v>
      </c>
      <c r="C344">
        <v>2054</v>
      </c>
      <c r="D344">
        <v>9.5496533393859799</v>
      </c>
      <c r="E344">
        <v>7.9276111125946001</v>
      </c>
      <c r="F344">
        <v>13.2228702704111</v>
      </c>
    </row>
    <row r="345" spans="1:6" x14ac:dyDescent="0.2">
      <c r="A345" t="s">
        <v>22</v>
      </c>
      <c r="B345">
        <v>2055</v>
      </c>
      <c r="C345">
        <v>2059</v>
      </c>
      <c r="D345">
        <v>9.6826616684595699</v>
      </c>
      <c r="E345">
        <v>8.0592444737752196</v>
      </c>
      <c r="F345">
        <v>13.3843371073404</v>
      </c>
    </row>
    <row r="346" spans="1:6" x14ac:dyDescent="0.2">
      <c r="A346" t="s">
        <v>22</v>
      </c>
      <c r="B346">
        <v>2060</v>
      </c>
      <c r="C346">
        <v>2064</v>
      </c>
      <c r="D346">
        <v>9.8900464852650902</v>
      </c>
      <c r="E346">
        <v>8.2414916912714595</v>
      </c>
      <c r="F346">
        <v>13.6588360627492</v>
      </c>
    </row>
    <row r="347" spans="1:6" x14ac:dyDescent="0.2">
      <c r="A347" t="s">
        <v>22</v>
      </c>
      <c r="B347">
        <v>2065</v>
      </c>
      <c r="C347">
        <v>2069</v>
      </c>
      <c r="D347">
        <v>10.1593161741892</v>
      </c>
      <c r="E347">
        <v>8.4744230588277105</v>
      </c>
      <c r="F347">
        <v>14.035744047164901</v>
      </c>
    </row>
    <row r="348" spans="1:6" x14ac:dyDescent="0.2">
      <c r="A348" t="s">
        <v>22</v>
      </c>
      <c r="B348">
        <v>2070</v>
      </c>
      <c r="C348">
        <v>2074</v>
      </c>
      <c r="D348">
        <v>10.369496679306</v>
      </c>
      <c r="E348">
        <v>8.6887540260950704</v>
      </c>
      <c r="F348">
        <v>14.2665227572123</v>
      </c>
    </row>
    <row r="349" spans="1:6" x14ac:dyDescent="0.2">
      <c r="A349" t="s">
        <v>22</v>
      </c>
      <c r="B349">
        <v>2075</v>
      </c>
      <c r="C349">
        <v>2079</v>
      </c>
      <c r="D349">
        <v>10.3496061007181</v>
      </c>
      <c r="E349">
        <v>8.6498676220575899</v>
      </c>
      <c r="F349">
        <v>14.238281170527101</v>
      </c>
    </row>
    <row r="350" spans="1:6" x14ac:dyDescent="0.2">
      <c r="A350" t="s">
        <v>22</v>
      </c>
      <c r="B350">
        <v>2080</v>
      </c>
      <c r="C350">
        <v>2084</v>
      </c>
      <c r="D350">
        <v>10.505104573567699</v>
      </c>
      <c r="E350">
        <v>8.7993513425191203</v>
      </c>
      <c r="F350">
        <v>14.3989153703053</v>
      </c>
    </row>
    <row r="351" spans="1:6" x14ac:dyDescent="0.2">
      <c r="A351" t="s">
        <v>22</v>
      </c>
      <c r="B351">
        <v>2085</v>
      </c>
      <c r="C351">
        <v>2089</v>
      </c>
      <c r="D351">
        <v>10.6950265248616</v>
      </c>
      <c r="E351">
        <v>8.9586232344309398</v>
      </c>
      <c r="F351">
        <v>14.6921725432078</v>
      </c>
    </row>
    <row r="352" spans="1:6" x14ac:dyDescent="0.2">
      <c r="A352" t="s">
        <v>22</v>
      </c>
      <c r="B352">
        <v>2090</v>
      </c>
      <c r="C352">
        <v>2094</v>
      </c>
      <c r="D352">
        <v>11.0916465918223</v>
      </c>
      <c r="E352">
        <v>9.3285779794057202</v>
      </c>
      <c r="F352">
        <v>15.1355322519938</v>
      </c>
    </row>
    <row r="353" spans="1:6" x14ac:dyDescent="0.2">
      <c r="A353" t="s">
        <v>22</v>
      </c>
      <c r="B353">
        <v>2095</v>
      </c>
      <c r="C353">
        <v>2099</v>
      </c>
      <c r="D353">
        <v>11.2205962657928</v>
      </c>
      <c r="E353">
        <v>9.4314438501993791</v>
      </c>
      <c r="F353">
        <v>15.323402293523101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9A5E-CD97-2340-8ECE-289F6A04F00E}">
  <dimension ref="A1:M375"/>
  <sheetViews>
    <sheetView workbookViewId="0">
      <selection activeCell="M12" sqref="M12"/>
    </sheetView>
  </sheetViews>
  <sheetFormatPr baseColWidth="10" defaultRowHeight="16" x14ac:dyDescent="0.2"/>
  <sheetData>
    <row r="1" spans="1:13" x14ac:dyDescent="0.2">
      <c r="A1" s="6" t="s">
        <v>3</v>
      </c>
      <c r="B1" s="6" t="s">
        <v>0</v>
      </c>
      <c r="C1" s="6" t="s">
        <v>1</v>
      </c>
      <c r="D1" s="6" t="s">
        <v>4</v>
      </c>
      <c r="E1" s="6" t="s">
        <v>5</v>
      </c>
      <c r="F1" s="6" t="s">
        <v>6</v>
      </c>
      <c r="I1" t="s">
        <v>0</v>
      </c>
      <c r="J1" t="s">
        <v>25</v>
      </c>
      <c r="K1" s="5" t="s">
        <v>0</v>
      </c>
      <c r="L1" s="5" t="s">
        <v>2</v>
      </c>
      <c r="M1" s="5" t="s">
        <v>24</v>
      </c>
    </row>
    <row r="2" spans="1:13" x14ac:dyDescent="0.2">
      <c r="A2" s="6" t="s">
        <v>7</v>
      </c>
      <c r="B2" s="6">
        <v>1990</v>
      </c>
      <c r="C2" s="6">
        <v>1994</v>
      </c>
      <c r="D2" s="6">
        <v>6.8033037199999997</v>
      </c>
      <c r="E2" s="6">
        <v>5.64593363</v>
      </c>
      <c r="F2" s="6">
        <v>10.7284203</v>
      </c>
      <c r="I2">
        <v>1990</v>
      </c>
      <c r="J2" cm="1">
        <f t="array" ref="J2">MEDIAN(IF($B:$B=$I2,D:D))</f>
        <v>7.7689494000000003</v>
      </c>
      <c r="K2" s="4">
        <v>1990</v>
      </c>
      <c r="L2" s="1">
        <v>-1.56968144528128</v>
      </c>
      <c r="M2" s="1">
        <v>20.902560000000001</v>
      </c>
    </row>
    <row r="3" spans="1:13" x14ac:dyDescent="0.2">
      <c r="A3" s="6" t="s">
        <v>7</v>
      </c>
      <c r="B3" s="6">
        <v>1995</v>
      </c>
      <c r="C3" s="6">
        <v>1999</v>
      </c>
      <c r="D3" s="6">
        <v>7.2447495499999999</v>
      </c>
      <c r="E3" s="6">
        <v>5.9924464200000003</v>
      </c>
      <c r="F3" s="6">
        <v>11.5573864</v>
      </c>
      <c r="I3">
        <v>1995</v>
      </c>
      <c r="J3" cm="1">
        <f t="array" ref="J3">MEDIAN(IF($B:$B=$I3,D:D))</f>
        <v>8.2259816200000007</v>
      </c>
      <c r="K3" s="4">
        <v>1995</v>
      </c>
      <c r="L3" s="1">
        <v>-1.5959363822183601</v>
      </c>
      <c r="M3" s="1">
        <v>20.371770000000001</v>
      </c>
    </row>
    <row r="4" spans="1:13" x14ac:dyDescent="0.2">
      <c r="A4" s="6" t="s">
        <v>7</v>
      </c>
      <c r="B4" s="6">
        <v>2000</v>
      </c>
      <c r="C4" s="6">
        <v>2004</v>
      </c>
      <c r="D4" s="6">
        <v>7.5736670500000001</v>
      </c>
      <c r="E4" s="6">
        <v>6.2873964300000003</v>
      </c>
      <c r="F4" s="6">
        <v>11.9909401</v>
      </c>
      <c r="I4">
        <v>2000</v>
      </c>
      <c r="J4" cm="1">
        <f t="array" ref="J4">MEDIAN(IF($B:$B=$I4,D:D))</f>
        <v>8.3645038599999992</v>
      </c>
      <c r="K4" s="4">
        <v>2000</v>
      </c>
      <c r="L4" s="1">
        <v>-1.5163324244368599</v>
      </c>
      <c r="M4" s="1">
        <v>21.835381999999999</v>
      </c>
    </row>
    <row r="5" spans="1:13" x14ac:dyDescent="0.2">
      <c r="A5" s="6" t="s">
        <v>7</v>
      </c>
      <c r="B5" s="6">
        <v>2005</v>
      </c>
      <c r="C5" s="6">
        <v>2009</v>
      </c>
      <c r="D5" s="6">
        <v>7.2238469099999998</v>
      </c>
      <c r="E5" s="6">
        <v>5.9700298299999996</v>
      </c>
      <c r="F5" s="6">
        <v>11.5126133</v>
      </c>
      <c r="I5">
        <v>2005</v>
      </c>
      <c r="J5" cm="1">
        <f t="array" ref="J5">MEDIAN(IF($B:$B=$I5,D:D))</f>
        <v>8.2546372899999998</v>
      </c>
      <c r="K5" s="4">
        <v>2005</v>
      </c>
      <c r="L5" s="1">
        <v>-1.45556081533874</v>
      </c>
      <c r="M5" s="1">
        <v>22.336024999999999</v>
      </c>
    </row>
    <row r="6" spans="1:13" x14ac:dyDescent="0.2">
      <c r="A6" s="6" t="s">
        <v>7</v>
      </c>
      <c r="B6" s="6">
        <v>2010</v>
      </c>
      <c r="C6" s="6">
        <v>2014</v>
      </c>
      <c r="D6" s="6">
        <v>8.0722847000000009</v>
      </c>
      <c r="E6" s="6">
        <v>6.7687120399999996</v>
      </c>
      <c r="F6" s="6">
        <v>12.5790167</v>
      </c>
      <c r="I6">
        <v>2010</v>
      </c>
      <c r="J6" cm="1">
        <f t="array" ref="J6">MEDIAN(IF($B:$B=$I6,D:D))</f>
        <v>8.53806507</v>
      </c>
      <c r="K6" s="4">
        <v>2010</v>
      </c>
      <c r="L6" s="1">
        <v>-1.42481076352192</v>
      </c>
      <c r="M6" s="1">
        <v>22.167297000000001</v>
      </c>
    </row>
    <row r="7" spans="1:13" x14ac:dyDescent="0.2">
      <c r="A7" s="6" t="s">
        <v>7</v>
      </c>
      <c r="B7" s="6">
        <v>2015</v>
      </c>
      <c r="C7" s="6">
        <v>2019</v>
      </c>
      <c r="D7" s="6">
        <v>8.4160699799999996</v>
      </c>
      <c r="E7" s="6">
        <v>7.04179668</v>
      </c>
      <c r="F7" s="6">
        <v>13.1184788</v>
      </c>
      <c r="I7">
        <v>2015</v>
      </c>
      <c r="J7" cm="1">
        <f t="array" ref="J7">MEDIAN(IF($B:$B=$I7,D:D))</f>
        <v>8.6405607199999999</v>
      </c>
      <c r="K7" s="4">
        <v>2015</v>
      </c>
      <c r="L7" s="1">
        <v>-1.39523773510027</v>
      </c>
      <c r="M7" s="1">
        <v>22.462852000000002</v>
      </c>
    </row>
    <row r="8" spans="1:13" x14ac:dyDescent="0.2">
      <c r="A8" s="6" t="s">
        <v>7</v>
      </c>
      <c r="B8" s="6">
        <v>2020</v>
      </c>
      <c r="C8" s="6">
        <v>2024</v>
      </c>
      <c r="D8" s="6">
        <v>8.6339244799999992</v>
      </c>
      <c r="E8" s="6">
        <v>7.2110476500000003</v>
      </c>
      <c r="F8" s="6">
        <v>13.545602799999999</v>
      </c>
      <c r="I8">
        <v>2020</v>
      </c>
      <c r="J8" cm="1">
        <f t="array" ref="J8">MEDIAN(IF($B:$B=$I8,D:D))</f>
        <v>8.7266999199999997</v>
      </c>
      <c r="K8" s="4">
        <v>2020</v>
      </c>
      <c r="L8" s="1">
        <v>-1.36770473292009</v>
      </c>
      <c r="M8" s="1">
        <v>22.646687</v>
      </c>
    </row>
    <row r="9" spans="1:13" x14ac:dyDescent="0.2">
      <c r="A9" s="6" t="s">
        <v>7</v>
      </c>
      <c r="B9" s="6">
        <v>2025</v>
      </c>
      <c r="C9" s="6">
        <v>2029</v>
      </c>
      <c r="D9" s="6">
        <v>8.2536048900000001</v>
      </c>
      <c r="E9" s="6">
        <v>6.9260854700000003</v>
      </c>
      <c r="F9" s="6">
        <v>12.8439941</v>
      </c>
      <c r="I9">
        <v>2025</v>
      </c>
      <c r="J9" cm="1">
        <f t="array" ref="J9">MEDIAN(IF($B:$B=$I9,D:D))</f>
        <v>8.9229559700000003</v>
      </c>
      <c r="L9">
        <f>(M9-35.547)/9.3078</f>
        <v>-1.3179277460055003</v>
      </c>
      <c r="M9">
        <f>J9*2.609</f>
        <v>23.279992125730001</v>
      </c>
    </row>
    <row r="10" spans="1:13" x14ac:dyDescent="0.2">
      <c r="A10" s="6" t="s">
        <v>7</v>
      </c>
      <c r="B10" s="6">
        <v>2030</v>
      </c>
      <c r="C10" s="6">
        <v>2034</v>
      </c>
      <c r="D10" s="6">
        <v>8.3527984600000007</v>
      </c>
      <c r="E10" s="6">
        <v>6.9335794399999999</v>
      </c>
      <c r="F10" s="6">
        <v>13.262329100000001</v>
      </c>
      <c r="I10">
        <v>2030</v>
      </c>
      <c r="J10" cm="1">
        <f t="array" ref="J10">MEDIAN(IF($B:$B=$I10,D:D))</f>
        <v>9.2044973500000005</v>
      </c>
      <c r="L10">
        <f t="shared" ref="L10:L23" si="0">(M10-35.547)/9.3078</f>
        <v>-1.2390109815262462</v>
      </c>
      <c r="M10">
        <f t="shared" ref="M10:M23" si="1">J10*2.609</f>
        <v>24.014533586150002</v>
      </c>
    </row>
    <row r="11" spans="1:13" x14ac:dyDescent="0.2">
      <c r="A11" s="6" t="s">
        <v>7</v>
      </c>
      <c r="B11" s="6">
        <v>2035</v>
      </c>
      <c r="C11" s="6">
        <v>2039</v>
      </c>
      <c r="D11" s="6">
        <v>8.9210519799999997</v>
      </c>
      <c r="E11" s="6">
        <v>7.44629955</v>
      </c>
      <c r="F11" s="6">
        <v>14.0626917</v>
      </c>
      <c r="I11">
        <v>2035</v>
      </c>
      <c r="J11" cm="1">
        <f t="array" ref="J11">MEDIAN(IF($B:$B=$I11,D:D))</f>
        <v>9.2566628499999997</v>
      </c>
      <c r="L11">
        <f t="shared" si="0"/>
        <v>-1.224388859273942</v>
      </c>
      <c r="M11">
        <f t="shared" si="1"/>
        <v>24.150633375649999</v>
      </c>
    </row>
    <row r="12" spans="1:13" x14ac:dyDescent="0.2">
      <c r="A12" s="6" t="s">
        <v>7</v>
      </c>
      <c r="B12" s="6">
        <v>2040</v>
      </c>
      <c r="C12" s="6">
        <v>2044</v>
      </c>
      <c r="D12" s="6">
        <v>8.8844461399999997</v>
      </c>
      <c r="E12" s="6">
        <v>7.4427127799999999</v>
      </c>
      <c r="F12" s="6">
        <v>13.837801000000001</v>
      </c>
      <c r="I12">
        <v>2040</v>
      </c>
      <c r="J12" cm="1">
        <f t="array" ref="J12">MEDIAN(IF($B:$B=$I12,D:D))</f>
        <v>9.4794620700000003</v>
      </c>
      <c r="L12">
        <f t="shared" si="0"/>
        <v>-1.1619376715625602</v>
      </c>
      <c r="M12">
        <f t="shared" si="1"/>
        <v>24.731916540629999</v>
      </c>
    </row>
    <row r="13" spans="1:13" x14ac:dyDescent="0.2">
      <c r="A13" s="6" t="s">
        <v>7</v>
      </c>
      <c r="B13" s="6">
        <v>2045</v>
      </c>
      <c r="C13" s="6">
        <v>2049</v>
      </c>
      <c r="D13" s="6">
        <v>9.4312992100000006</v>
      </c>
      <c r="E13" s="6">
        <v>7.8457322100000004</v>
      </c>
      <c r="F13" s="6">
        <v>14.8253641</v>
      </c>
      <c r="I13">
        <v>2045</v>
      </c>
      <c r="J13" cm="1">
        <f t="array" ref="J13">MEDIAN(IF($B:$B=$I13,D:D))</f>
        <v>9.6699237999999994</v>
      </c>
      <c r="L13">
        <f t="shared" si="0"/>
        <v>-1.1085507644985924</v>
      </c>
      <c r="M13">
        <f t="shared" si="1"/>
        <v>25.228831194199998</v>
      </c>
    </row>
    <row r="14" spans="1:13" x14ac:dyDescent="0.2">
      <c r="A14" s="6" t="s">
        <v>7</v>
      </c>
      <c r="B14" s="6">
        <v>2050</v>
      </c>
      <c r="C14" s="6">
        <v>2054</v>
      </c>
      <c r="D14" s="6">
        <v>9.2424974399999993</v>
      </c>
      <c r="E14" s="6">
        <v>7.8330326100000001</v>
      </c>
      <c r="F14" s="6">
        <v>14.119043400000001</v>
      </c>
      <c r="I14">
        <v>2050</v>
      </c>
      <c r="J14" cm="1">
        <f t="array" ref="J14">MEDIAN(IF($B:$B=$I14,D:D))</f>
        <v>9.8953671700000001</v>
      </c>
      <c r="L14">
        <f t="shared" si="0"/>
        <v>-1.0453584148209025</v>
      </c>
      <c r="M14">
        <f t="shared" si="1"/>
        <v>25.817012946529999</v>
      </c>
    </row>
    <row r="15" spans="1:13" x14ac:dyDescent="0.2">
      <c r="A15" s="6" t="s">
        <v>7</v>
      </c>
      <c r="B15" s="6">
        <v>2055</v>
      </c>
      <c r="C15" s="6">
        <v>2059</v>
      </c>
      <c r="D15" s="6">
        <v>9.5637178400000007</v>
      </c>
      <c r="E15" s="6">
        <v>8.1283216500000002</v>
      </c>
      <c r="F15" s="6">
        <v>14.568645500000001</v>
      </c>
      <c r="I15">
        <v>2055</v>
      </c>
      <c r="J15" cm="1">
        <f t="array" ref="J15">MEDIAN(IF($B:$B=$I15,D:D))</f>
        <v>10.107650599999999</v>
      </c>
      <c r="L15">
        <f t="shared" si="0"/>
        <v>-0.98585482977717587</v>
      </c>
      <c r="M15">
        <f t="shared" si="1"/>
        <v>26.370860415399999</v>
      </c>
    </row>
    <row r="16" spans="1:13" x14ac:dyDescent="0.2">
      <c r="A16" s="6" t="s">
        <v>7</v>
      </c>
      <c r="B16" s="6">
        <v>2060</v>
      </c>
      <c r="C16" s="6">
        <v>2064</v>
      </c>
      <c r="D16" s="6">
        <v>9.4110908500000008</v>
      </c>
      <c r="E16" s="6">
        <v>7.9557409300000002</v>
      </c>
      <c r="F16" s="6">
        <v>14.418343500000001</v>
      </c>
      <c r="I16">
        <v>2060</v>
      </c>
      <c r="J16" cm="1">
        <f t="array" ref="J16">MEDIAN(IF($B:$B=$I16,D:D))</f>
        <v>10.471048</v>
      </c>
      <c r="L16">
        <f t="shared" si="0"/>
        <v>-0.88399361481767957</v>
      </c>
      <c r="M16">
        <f t="shared" si="1"/>
        <v>27.318964231999999</v>
      </c>
    </row>
    <row r="17" spans="1:13" x14ac:dyDescent="0.2">
      <c r="A17" s="6" t="s">
        <v>7</v>
      </c>
      <c r="B17" s="6">
        <v>2065</v>
      </c>
      <c r="C17" s="6">
        <v>2069</v>
      </c>
      <c r="D17" s="6">
        <v>10.549348800000001</v>
      </c>
      <c r="E17" s="6">
        <v>8.9236812600000004</v>
      </c>
      <c r="F17" s="6">
        <v>16.122907600000001</v>
      </c>
      <c r="I17">
        <v>2065</v>
      </c>
      <c r="J17" cm="1">
        <f t="array" ref="J17">MEDIAN(IF($B:$B=$I17,D:D))</f>
        <v>10.549348800000001</v>
      </c>
      <c r="L17">
        <f t="shared" si="0"/>
        <v>-0.86204570154064297</v>
      </c>
      <c r="M17">
        <f t="shared" si="1"/>
        <v>27.5232510192</v>
      </c>
    </row>
    <row r="18" spans="1:13" x14ac:dyDescent="0.2">
      <c r="A18" s="6" t="s">
        <v>7</v>
      </c>
      <c r="B18" s="6">
        <v>2070</v>
      </c>
      <c r="C18" s="6">
        <v>2074</v>
      </c>
      <c r="D18" s="6">
        <v>10.6288824</v>
      </c>
      <c r="E18" s="6">
        <v>8.9659910200000006</v>
      </c>
      <c r="F18" s="6">
        <v>16.304924</v>
      </c>
      <c r="I18">
        <v>2070</v>
      </c>
      <c r="J18" cm="1">
        <f t="array" ref="J18">MEDIAN(IF($B:$B=$I18,D:D))</f>
        <v>10.6386132</v>
      </c>
      <c r="L18">
        <f t="shared" si="0"/>
        <v>-0.83702466331463887</v>
      </c>
      <c r="M18">
        <f t="shared" si="1"/>
        <v>27.756141838800001</v>
      </c>
    </row>
    <row r="19" spans="1:13" x14ac:dyDescent="0.2">
      <c r="A19" s="6" t="s">
        <v>7</v>
      </c>
      <c r="B19" s="6">
        <v>2075</v>
      </c>
      <c r="C19" s="6">
        <v>2079</v>
      </c>
      <c r="D19" s="6">
        <v>11.1997938</v>
      </c>
      <c r="E19" s="6">
        <v>9.4731988900000008</v>
      </c>
      <c r="F19" s="6">
        <v>17.146127700000001</v>
      </c>
      <c r="I19">
        <v>2075</v>
      </c>
      <c r="J19" cm="1">
        <f t="array" ref="J19">MEDIAN(IF($B:$B=$I19,D:D))</f>
        <v>11.1997938</v>
      </c>
      <c r="L19">
        <f t="shared" si="0"/>
        <v>-0.67972431463933436</v>
      </c>
      <c r="M19">
        <f t="shared" si="1"/>
        <v>29.2202620242</v>
      </c>
    </row>
    <row r="20" spans="1:13" x14ac:dyDescent="0.2">
      <c r="A20" s="6" t="s">
        <v>7</v>
      </c>
      <c r="B20" s="6">
        <v>2080</v>
      </c>
      <c r="C20" s="6">
        <v>2084</v>
      </c>
      <c r="D20" s="6">
        <v>10.232068099999999</v>
      </c>
      <c r="E20" s="6">
        <v>8.5424423199999993</v>
      </c>
      <c r="F20" s="6">
        <v>15.9637613</v>
      </c>
      <c r="I20">
        <v>2080</v>
      </c>
      <c r="J20" cm="1">
        <f t="array" ref="J20">MEDIAN(IF($B:$B=$I20,D:D))</f>
        <v>11.202886400000001</v>
      </c>
      <c r="L20">
        <f t="shared" si="0"/>
        <v>-0.67885745099808714</v>
      </c>
      <c r="M20">
        <f t="shared" si="1"/>
        <v>29.228330617600001</v>
      </c>
    </row>
    <row r="21" spans="1:13" x14ac:dyDescent="0.2">
      <c r="A21" s="6" t="s">
        <v>7</v>
      </c>
      <c r="B21" s="6">
        <v>2085</v>
      </c>
      <c r="C21" s="6">
        <v>2089</v>
      </c>
      <c r="D21" s="6">
        <v>11.278232600000001</v>
      </c>
      <c r="E21" s="6">
        <v>9.5135526699999993</v>
      </c>
      <c r="F21" s="6">
        <v>17.381452599999999</v>
      </c>
      <c r="I21">
        <v>2085</v>
      </c>
      <c r="J21" cm="1">
        <f t="array" ref="J21">MEDIAN(IF($B:$B=$I21,D:D))</f>
        <v>11.366273700000001</v>
      </c>
      <c r="L21">
        <f t="shared" si="0"/>
        <v>-0.63305957548507652</v>
      </c>
      <c r="M21">
        <f t="shared" si="1"/>
        <v>29.654608083300001</v>
      </c>
    </row>
    <row r="22" spans="1:13" x14ac:dyDescent="0.2">
      <c r="A22" s="6" t="s">
        <v>7</v>
      </c>
      <c r="B22" s="6">
        <v>2090</v>
      </c>
      <c r="C22" s="6">
        <v>2094</v>
      </c>
      <c r="D22" s="6">
        <v>12.0402451</v>
      </c>
      <c r="E22" s="6">
        <v>10.149316799999999</v>
      </c>
      <c r="F22" s="6">
        <v>18.506610899999998</v>
      </c>
      <c r="I22">
        <v>2090</v>
      </c>
      <c r="J22" cm="1">
        <f t="array" ref="J22">MEDIAN(IF($B:$B=$I22,D:D))</f>
        <v>11.9282722</v>
      </c>
      <c r="L22">
        <f t="shared" si="0"/>
        <v>-0.47552996736070763</v>
      </c>
      <c r="M22">
        <f t="shared" si="1"/>
        <v>31.120862169800002</v>
      </c>
    </row>
    <row r="23" spans="1:13" x14ac:dyDescent="0.2">
      <c r="A23" s="6" t="s">
        <v>7</v>
      </c>
      <c r="B23" s="6">
        <v>2095</v>
      </c>
      <c r="C23" s="6">
        <v>2099</v>
      </c>
      <c r="D23" s="6">
        <v>12.216301899999999</v>
      </c>
      <c r="E23" s="6">
        <v>10.409695599999999</v>
      </c>
      <c r="F23" s="6">
        <v>18.4850998</v>
      </c>
      <c r="I23">
        <v>2095</v>
      </c>
      <c r="J23" cm="1">
        <f t="array" ref="J23">MEDIAN(IF($B:$B=$I23,D:D))</f>
        <v>12.1088133</v>
      </c>
      <c r="L23">
        <f t="shared" si="0"/>
        <v>-0.42492383810352607</v>
      </c>
      <c r="M23">
        <f t="shared" si="1"/>
        <v>31.591893899699997</v>
      </c>
    </row>
    <row r="24" spans="1:13" x14ac:dyDescent="0.2">
      <c r="A24" s="6" t="s">
        <v>8</v>
      </c>
      <c r="B24" s="6">
        <v>1990</v>
      </c>
      <c r="C24" s="6">
        <v>1994</v>
      </c>
      <c r="D24" s="6">
        <v>8.6505317700000006</v>
      </c>
      <c r="E24" s="6">
        <v>7.2057786000000004</v>
      </c>
      <c r="F24" s="6">
        <v>11.064178500000001</v>
      </c>
    </row>
    <row r="25" spans="1:13" x14ac:dyDescent="0.2">
      <c r="A25" s="6" t="s">
        <v>8</v>
      </c>
      <c r="B25" s="6">
        <v>1995</v>
      </c>
      <c r="C25" s="6">
        <v>1999</v>
      </c>
      <c r="D25" s="6">
        <v>8.5460186</v>
      </c>
      <c r="E25" s="6">
        <v>7.1809105899999999</v>
      </c>
      <c r="F25" s="6">
        <v>10.8063374</v>
      </c>
    </row>
    <row r="26" spans="1:13" x14ac:dyDescent="0.2">
      <c r="A26" s="6" t="s">
        <v>8</v>
      </c>
      <c r="B26" s="6">
        <v>2000</v>
      </c>
      <c r="C26" s="6">
        <v>2004</v>
      </c>
      <c r="D26" s="6">
        <v>8.7383394200000009</v>
      </c>
      <c r="E26" s="6">
        <v>7.2653713199999999</v>
      </c>
      <c r="F26" s="6">
        <v>11.176919</v>
      </c>
    </row>
    <row r="27" spans="1:13" x14ac:dyDescent="0.2">
      <c r="A27" s="6" t="s">
        <v>8</v>
      </c>
      <c r="B27" s="6">
        <v>2005</v>
      </c>
      <c r="C27" s="6">
        <v>2009</v>
      </c>
      <c r="D27" s="6">
        <v>9.2705373800000004</v>
      </c>
      <c r="E27" s="6">
        <v>7.86249924</v>
      </c>
      <c r="F27" s="6">
        <v>11.594608300000001</v>
      </c>
    </row>
    <row r="28" spans="1:13" x14ac:dyDescent="0.2">
      <c r="A28" s="6" t="s">
        <v>8</v>
      </c>
      <c r="B28" s="6">
        <v>2010</v>
      </c>
      <c r="C28" s="6">
        <v>2014</v>
      </c>
      <c r="D28" s="6">
        <v>9.0616169000000006</v>
      </c>
      <c r="E28" s="6">
        <v>7.5742421200000001</v>
      </c>
      <c r="F28" s="6">
        <v>11.551402100000001</v>
      </c>
    </row>
    <row r="29" spans="1:13" x14ac:dyDescent="0.2">
      <c r="A29" s="6" t="s">
        <v>8</v>
      </c>
      <c r="B29" s="6">
        <v>2015</v>
      </c>
      <c r="C29" s="6">
        <v>2019</v>
      </c>
      <c r="D29" s="6">
        <v>9.3819484699999993</v>
      </c>
      <c r="E29" s="6">
        <v>7.8639492999999998</v>
      </c>
      <c r="F29" s="6">
        <v>11.954839700000001</v>
      </c>
    </row>
    <row r="30" spans="1:13" x14ac:dyDescent="0.2">
      <c r="A30" s="6" t="s">
        <v>8</v>
      </c>
      <c r="B30" s="6">
        <v>2020</v>
      </c>
      <c r="C30" s="6">
        <v>2024</v>
      </c>
      <c r="D30" s="6">
        <v>9.4166698499999999</v>
      </c>
      <c r="E30" s="6">
        <v>7.7992448799999998</v>
      </c>
      <c r="F30" s="6">
        <v>12.1150541</v>
      </c>
    </row>
    <row r="31" spans="1:13" x14ac:dyDescent="0.2">
      <c r="A31" s="6" t="s">
        <v>8</v>
      </c>
      <c r="B31" s="6">
        <v>2025</v>
      </c>
      <c r="C31" s="6">
        <v>2029</v>
      </c>
      <c r="D31" s="6">
        <v>9.6464424100000006</v>
      </c>
      <c r="E31" s="6">
        <v>8.2204093900000004</v>
      </c>
      <c r="F31" s="6">
        <v>12.0705376</v>
      </c>
    </row>
    <row r="32" spans="1:13" x14ac:dyDescent="0.2">
      <c r="A32" s="6" t="s">
        <v>8</v>
      </c>
      <c r="B32" s="6">
        <v>2030</v>
      </c>
      <c r="C32" s="6">
        <v>2034</v>
      </c>
      <c r="D32" s="6">
        <v>9.5294122699999999</v>
      </c>
      <c r="E32" s="6">
        <v>8.0270194999999998</v>
      </c>
      <c r="F32" s="6">
        <v>12.0380135</v>
      </c>
    </row>
    <row r="33" spans="1:6" x14ac:dyDescent="0.2">
      <c r="A33" s="6" t="s">
        <v>8</v>
      </c>
      <c r="B33" s="6">
        <v>2035</v>
      </c>
      <c r="C33" s="6">
        <v>2039</v>
      </c>
      <c r="D33" s="6">
        <v>10.208391199999999</v>
      </c>
      <c r="E33" s="6">
        <v>8.5170774500000004</v>
      </c>
      <c r="F33" s="6">
        <v>13.0323124</v>
      </c>
    </row>
    <row r="34" spans="1:6" x14ac:dyDescent="0.2">
      <c r="A34" s="6" t="s">
        <v>8</v>
      </c>
      <c r="B34" s="6">
        <v>2040</v>
      </c>
      <c r="C34" s="6">
        <v>2044</v>
      </c>
      <c r="D34" s="6">
        <v>10.2806683</v>
      </c>
      <c r="E34" s="6">
        <v>8.72538853</v>
      </c>
      <c r="F34" s="6">
        <v>12.8747063</v>
      </c>
    </row>
    <row r="35" spans="1:6" x14ac:dyDescent="0.2">
      <c r="A35" s="6" t="s">
        <v>8</v>
      </c>
      <c r="B35" s="6">
        <v>2045</v>
      </c>
      <c r="C35" s="6">
        <v>2049</v>
      </c>
      <c r="D35" s="6">
        <v>11.113799999999999</v>
      </c>
      <c r="E35" s="6">
        <v>9.4485988600000006</v>
      </c>
      <c r="F35" s="6">
        <v>13.914042500000001</v>
      </c>
    </row>
    <row r="36" spans="1:6" x14ac:dyDescent="0.2">
      <c r="A36" s="6" t="s">
        <v>8</v>
      </c>
      <c r="B36" s="6">
        <v>2050</v>
      </c>
      <c r="C36" s="6">
        <v>2054</v>
      </c>
      <c r="D36" s="6">
        <v>10.629906699999999</v>
      </c>
      <c r="E36" s="6">
        <v>8.7460002899999996</v>
      </c>
      <c r="F36" s="6">
        <v>13.756087300000001</v>
      </c>
    </row>
    <row r="37" spans="1:6" x14ac:dyDescent="0.2">
      <c r="A37" s="6" t="s">
        <v>8</v>
      </c>
      <c r="B37" s="6">
        <v>2055</v>
      </c>
      <c r="C37" s="6">
        <v>2059</v>
      </c>
      <c r="D37" s="6">
        <v>10.4306526</v>
      </c>
      <c r="E37" s="6">
        <v>8.6281356799999998</v>
      </c>
      <c r="F37" s="6">
        <v>13.3972759</v>
      </c>
    </row>
    <row r="38" spans="1:6" x14ac:dyDescent="0.2">
      <c r="A38" s="6" t="s">
        <v>8</v>
      </c>
      <c r="B38" s="6">
        <v>2060</v>
      </c>
      <c r="C38" s="6">
        <v>2064</v>
      </c>
      <c r="D38" s="6">
        <v>10.9441614</v>
      </c>
      <c r="E38" s="6">
        <v>9.0723171199999992</v>
      </c>
      <c r="F38" s="6">
        <v>14.086033799999999</v>
      </c>
    </row>
    <row r="39" spans="1:6" x14ac:dyDescent="0.2">
      <c r="A39" s="6" t="s">
        <v>8</v>
      </c>
      <c r="B39" s="6">
        <v>2065</v>
      </c>
      <c r="C39" s="6">
        <v>2069</v>
      </c>
      <c r="D39" s="6">
        <v>10.7717571</v>
      </c>
      <c r="E39" s="6">
        <v>8.9253196700000004</v>
      </c>
      <c r="F39" s="6">
        <v>13.869347599999999</v>
      </c>
    </row>
    <row r="40" spans="1:6" x14ac:dyDescent="0.2">
      <c r="A40" s="6" t="s">
        <v>8</v>
      </c>
      <c r="B40" s="6">
        <v>2070</v>
      </c>
      <c r="C40" s="6">
        <v>2074</v>
      </c>
      <c r="D40" s="6">
        <v>11.515811899999999</v>
      </c>
      <c r="E40" s="6">
        <v>9.7572450600000007</v>
      </c>
      <c r="F40" s="6">
        <v>14.428687999999999</v>
      </c>
    </row>
    <row r="41" spans="1:6" x14ac:dyDescent="0.2">
      <c r="A41" s="6" t="s">
        <v>8</v>
      </c>
      <c r="B41" s="6">
        <v>2075</v>
      </c>
      <c r="C41" s="6">
        <v>2079</v>
      </c>
      <c r="D41" s="6">
        <v>12.0929327</v>
      </c>
      <c r="E41" s="6">
        <v>10.426136</v>
      </c>
      <c r="F41" s="6">
        <v>14.8884878</v>
      </c>
    </row>
    <row r="42" spans="1:6" x14ac:dyDescent="0.2">
      <c r="A42" s="6" t="s">
        <v>8</v>
      </c>
      <c r="B42" s="6">
        <v>2080</v>
      </c>
      <c r="C42" s="6">
        <v>2084</v>
      </c>
      <c r="D42" s="6">
        <v>11.3738613</v>
      </c>
      <c r="E42" s="6">
        <v>9.6469173399999999</v>
      </c>
      <c r="F42" s="6">
        <v>14.2401161</v>
      </c>
    </row>
    <row r="43" spans="1:6" x14ac:dyDescent="0.2">
      <c r="A43" s="6" t="s">
        <v>8</v>
      </c>
      <c r="B43" s="6">
        <v>2085</v>
      </c>
      <c r="C43" s="6">
        <v>2089</v>
      </c>
      <c r="D43" s="6">
        <v>11.829022399999999</v>
      </c>
      <c r="E43" s="6">
        <v>10.0787201</v>
      </c>
      <c r="F43" s="6">
        <v>14.761108399999999</v>
      </c>
    </row>
    <row r="44" spans="1:6" x14ac:dyDescent="0.2">
      <c r="A44" s="6" t="s">
        <v>8</v>
      </c>
      <c r="B44" s="6">
        <v>2090</v>
      </c>
      <c r="C44" s="6">
        <v>2094</v>
      </c>
      <c r="D44" s="6">
        <v>11.9282722</v>
      </c>
      <c r="E44" s="6">
        <v>10.0679102</v>
      </c>
      <c r="F44" s="6">
        <v>15.0376911</v>
      </c>
    </row>
    <row r="45" spans="1:6" x14ac:dyDescent="0.2">
      <c r="A45" s="6" t="s">
        <v>8</v>
      </c>
      <c r="B45" s="6">
        <v>2095</v>
      </c>
      <c r="C45" s="6">
        <v>2099</v>
      </c>
      <c r="D45" s="6">
        <v>12.1088133</v>
      </c>
      <c r="E45" s="6">
        <v>10.3094397</v>
      </c>
      <c r="F45" s="6">
        <v>15.1779022</v>
      </c>
    </row>
    <row r="46" spans="1:6" x14ac:dyDescent="0.2">
      <c r="A46" s="6" t="s">
        <v>9</v>
      </c>
      <c r="B46" s="6">
        <v>1990</v>
      </c>
      <c r="C46" s="6">
        <v>1994</v>
      </c>
      <c r="D46" s="6">
        <v>9.4721584300000004</v>
      </c>
      <c r="E46" s="6">
        <v>8.0976438500000008</v>
      </c>
      <c r="F46" s="6">
        <v>12.5170479</v>
      </c>
    </row>
    <row r="47" spans="1:6" x14ac:dyDescent="0.2">
      <c r="A47" s="6" t="s">
        <v>9</v>
      </c>
      <c r="B47" s="6">
        <v>1995</v>
      </c>
      <c r="C47" s="6">
        <v>1999</v>
      </c>
      <c r="D47" s="6">
        <v>10.392506600000001</v>
      </c>
      <c r="E47" s="6">
        <v>8.8860263800000006</v>
      </c>
      <c r="F47" s="6">
        <v>13.7575188</v>
      </c>
    </row>
    <row r="48" spans="1:6" x14ac:dyDescent="0.2">
      <c r="A48" s="6" t="s">
        <v>9</v>
      </c>
      <c r="B48" s="6">
        <v>2000</v>
      </c>
      <c r="C48" s="6">
        <v>2004</v>
      </c>
      <c r="D48" s="6">
        <v>10.461032899999999</v>
      </c>
      <c r="E48" s="6">
        <v>8.8301248599999997</v>
      </c>
      <c r="F48" s="6">
        <v>14.078878400000001</v>
      </c>
    </row>
    <row r="49" spans="1:6" x14ac:dyDescent="0.2">
      <c r="A49" s="6" t="s">
        <v>9</v>
      </c>
      <c r="B49" s="6">
        <v>2005</v>
      </c>
      <c r="C49" s="6">
        <v>2009</v>
      </c>
      <c r="D49" s="6">
        <v>10.4990664</v>
      </c>
      <c r="E49" s="6">
        <v>9.0590982400000009</v>
      </c>
      <c r="F49" s="6">
        <v>13.7189236</v>
      </c>
    </row>
    <row r="50" spans="1:6" x14ac:dyDescent="0.2">
      <c r="A50" s="6" t="s">
        <v>9</v>
      </c>
      <c r="B50" s="6">
        <v>2010</v>
      </c>
      <c r="C50" s="6">
        <v>2014</v>
      </c>
      <c r="D50" s="6">
        <v>10.976121900000001</v>
      </c>
      <c r="E50" s="6">
        <v>9.3881349600000004</v>
      </c>
      <c r="F50" s="6">
        <v>14.4894304</v>
      </c>
    </row>
    <row r="51" spans="1:6" x14ac:dyDescent="0.2">
      <c r="A51" s="6" t="s">
        <v>9</v>
      </c>
      <c r="B51" s="6">
        <v>2015</v>
      </c>
      <c r="C51" s="6">
        <v>2019</v>
      </c>
      <c r="D51" s="6">
        <v>10.9616489</v>
      </c>
      <c r="E51" s="6">
        <v>9.2880449299999999</v>
      </c>
      <c r="F51" s="6">
        <v>14.7393389</v>
      </c>
    </row>
    <row r="52" spans="1:6" x14ac:dyDescent="0.2">
      <c r="A52" s="6" t="s">
        <v>9</v>
      </c>
      <c r="B52" s="6">
        <v>2020</v>
      </c>
      <c r="C52" s="6">
        <v>2024</v>
      </c>
      <c r="D52" s="6">
        <v>10.7059488</v>
      </c>
      <c r="E52" s="6">
        <v>9.1438369799999997</v>
      </c>
      <c r="F52" s="6">
        <v>14.1735697</v>
      </c>
    </row>
    <row r="53" spans="1:6" x14ac:dyDescent="0.2">
      <c r="A53" s="6" t="s">
        <v>9</v>
      </c>
      <c r="B53" s="6">
        <v>2025</v>
      </c>
      <c r="C53" s="6">
        <v>2029</v>
      </c>
      <c r="D53" s="6">
        <v>10.9880829</v>
      </c>
      <c r="E53" s="6">
        <v>9.2937755600000003</v>
      </c>
      <c r="F53" s="6">
        <v>14.7781839</v>
      </c>
    </row>
    <row r="54" spans="1:6" x14ac:dyDescent="0.2">
      <c r="A54" s="6" t="s">
        <v>9</v>
      </c>
      <c r="B54" s="6">
        <v>2030</v>
      </c>
      <c r="C54" s="6">
        <v>2034</v>
      </c>
      <c r="D54" s="6">
        <v>10.7935696</v>
      </c>
      <c r="E54" s="6">
        <v>9.3075962099999998</v>
      </c>
      <c r="F54" s="6">
        <v>14.0874586</v>
      </c>
    </row>
    <row r="55" spans="1:6" x14ac:dyDescent="0.2">
      <c r="A55" s="6" t="s">
        <v>9</v>
      </c>
      <c r="B55" s="6">
        <v>2035</v>
      </c>
      <c r="C55" s="6">
        <v>2039</v>
      </c>
      <c r="D55" s="6">
        <v>11.6005716</v>
      </c>
      <c r="E55" s="6">
        <v>9.8636970500000007</v>
      </c>
      <c r="F55" s="6">
        <v>15.4621344</v>
      </c>
    </row>
    <row r="56" spans="1:6" x14ac:dyDescent="0.2">
      <c r="A56" s="6" t="s">
        <v>9</v>
      </c>
      <c r="B56" s="6">
        <v>2040</v>
      </c>
      <c r="C56" s="6">
        <v>2044</v>
      </c>
      <c r="D56" s="6">
        <v>11.744650800000001</v>
      </c>
      <c r="E56" s="6">
        <v>10.058745399999999</v>
      </c>
      <c r="F56" s="6">
        <v>15.4903879</v>
      </c>
    </row>
    <row r="57" spans="1:6" x14ac:dyDescent="0.2">
      <c r="A57" s="6" t="s">
        <v>9</v>
      </c>
      <c r="B57" s="6">
        <v>2045</v>
      </c>
      <c r="C57" s="6">
        <v>2049</v>
      </c>
      <c r="D57" s="6">
        <v>11.433880800000001</v>
      </c>
      <c r="E57" s="6">
        <v>9.7845068000000008</v>
      </c>
      <c r="F57" s="6">
        <v>15.079484900000001</v>
      </c>
    </row>
    <row r="58" spans="1:6" x14ac:dyDescent="0.2">
      <c r="A58" s="6" t="s">
        <v>9</v>
      </c>
      <c r="B58" s="6">
        <v>2050</v>
      </c>
      <c r="C58" s="6">
        <v>2054</v>
      </c>
      <c r="D58" s="6">
        <v>11.941592200000001</v>
      </c>
      <c r="E58" s="6">
        <v>10.299348800000001</v>
      </c>
      <c r="F58" s="6">
        <v>15.6123333</v>
      </c>
    </row>
    <row r="59" spans="1:6" x14ac:dyDescent="0.2">
      <c r="A59" s="6" t="s">
        <v>9</v>
      </c>
      <c r="B59" s="6">
        <v>2055</v>
      </c>
      <c r="C59" s="6">
        <v>2059</v>
      </c>
      <c r="D59" s="6">
        <v>12.1415501</v>
      </c>
      <c r="E59" s="6">
        <v>10.4454441</v>
      </c>
      <c r="F59" s="6">
        <v>15.939566599999999</v>
      </c>
    </row>
    <row r="60" spans="1:6" x14ac:dyDescent="0.2">
      <c r="A60" s="6" t="s">
        <v>9</v>
      </c>
      <c r="B60" s="6">
        <v>2060</v>
      </c>
      <c r="C60" s="6">
        <v>2064</v>
      </c>
      <c r="D60" s="6">
        <v>12.4987698</v>
      </c>
      <c r="E60" s="6">
        <v>10.8572264</v>
      </c>
      <c r="F60" s="6">
        <v>16.1645985</v>
      </c>
    </row>
    <row r="61" spans="1:6" x14ac:dyDescent="0.2">
      <c r="A61" s="6" t="s">
        <v>9</v>
      </c>
      <c r="B61" s="6">
        <v>2065</v>
      </c>
      <c r="C61" s="6">
        <v>2069</v>
      </c>
      <c r="D61" s="6">
        <v>12.5614367</v>
      </c>
      <c r="E61" s="6">
        <v>10.977705</v>
      </c>
      <c r="F61" s="6">
        <v>16.054588299999999</v>
      </c>
    </row>
    <row r="62" spans="1:6" x14ac:dyDescent="0.2">
      <c r="A62" s="6" t="s">
        <v>9</v>
      </c>
      <c r="B62" s="6">
        <v>2070</v>
      </c>
      <c r="C62" s="6">
        <v>2074</v>
      </c>
      <c r="D62" s="6">
        <v>12.4914541</v>
      </c>
      <c r="E62" s="6">
        <v>10.667896300000001</v>
      </c>
      <c r="F62" s="6">
        <v>16.492929499999999</v>
      </c>
    </row>
    <row r="63" spans="1:6" x14ac:dyDescent="0.2">
      <c r="A63" s="6" t="s">
        <v>9</v>
      </c>
      <c r="B63" s="6">
        <v>2075</v>
      </c>
      <c r="C63" s="6">
        <v>2079</v>
      </c>
      <c r="D63" s="6">
        <v>13.164271400000001</v>
      </c>
      <c r="E63" s="6">
        <v>11.279285399999999</v>
      </c>
      <c r="F63" s="6">
        <v>17.378423699999999</v>
      </c>
    </row>
    <row r="64" spans="1:6" x14ac:dyDescent="0.2">
      <c r="A64" s="6" t="s">
        <v>9</v>
      </c>
      <c r="B64" s="6">
        <v>2080</v>
      </c>
      <c r="C64" s="6">
        <v>2084</v>
      </c>
      <c r="D64" s="6">
        <v>13.867613800000001</v>
      </c>
      <c r="E64" s="6">
        <v>12.071073500000001</v>
      </c>
      <c r="F64" s="6">
        <v>17.879652</v>
      </c>
    </row>
    <row r="65" spans="1:6" x14ac:dyDescent="0.2">
      <c r="A65" s="6" t="s">
        <v>9</v>
      </c>
      <c r="B65" s="6">
        <v>2085</v>
      </c>
      <c r="C65" s="6">
        <v>2089</v>
      </c>
      <c r="D65" s="6">
        <v>13.9460468</v>
      </c>
      <c r="E65" s="6">
        <v>12.093442</v>
      </c>
      <c r="F65" s="6">
        <v>18.0291882</v>
      </c>
    </row>
    <row r="66" spans="1:6" x14ac:dyDescent="0.2">
      <c r="A66" s="6" t="s">
        <v>9</v>
      </c>
      <c r="B66" s="6">
        <v>2090</v>
      </c>
      <c r="C66" s="6">
        <v>2094</v>
      </c>
      <c r="D66" s="6">
        <v>13.638145400000001</v>
      </c>
      <c r="E66" s="6">
        <v>11.773376499999999</v>
      </c>
      <c r="F66" s="6">
        <v>17.8091908</v>
      </c>
    </row>
    <row r="67" spans="1:6" x14ac:dyDescent="0.2">
      <c r="A67" s="6" t="s">
        <v>9</v>
      </c>
      <c r="B67" s="6">
        <v>2095</v>
      </c>
      <c r="C67" s="6">
        <v>2099</v>
      </c>
      <c r="D67" s="6">
        <v>13.7672682</v>
      </c>
      <c r="E67" s="6">
        <v>11.9573059</v>
      </c>
      <c r="F67" s="6">
        <v>17.765697500000002</v>
      </c>
    </row>
    <row r="68" spans="1:6" x14ac:dyDescent="0.2">
      <c r="A68" s="6" t="s">
        <v>10</v>
      </c>
      <c r="B68" s="6">
        <v>1990</v>
      </c>
      <c r="C68" s="6">
        <v>1994</v>
      </c>
      <c r="D68" s="6">
        <v>9.2949819599999994</v>
      </c>
      <c r="E68" s="6">
        <v>7.9654622100000001</v>
      </c>
      <c r="F68" s="6">
        <v>12.243062999999999</v>
      </c>
    </row>
    <row r="69" spans="1:6" x14ac:dyDescent="0.2">
      <c r="A69" s="6" t="s">
        <v>10</v>
      </c>
      <c r="B69" s="6">
        <v>1995</v>
      </c>
      <c r="C69" s="6">
        <v>1999</v>
      </c>
      <c r="D69" s="6">
        <v>10.0800438</v>
      </c>
      <c r="E69" s="6">
        <v>8.5688114199999994</v>
      </c>
      <c r="F69" s="6">
        <v>13.4529505</v>
      </c>
    </row>
    <row r="70" spans="1:6" x14ac:dyDescent="0.2">
      <c r="A70" s="6" t="s">
        <v>10</v>
      </c>
      <c r="B70" s="6">
        <v>2000</v>
      </c>
      <c r="C70" s="6">
        <v>2004</v>
      </c>
      <c r="D70" s="6">
        <v>10.397865299999999</v>
      </c>
      <c r="E70" s="6">
        <v>8.8952636700000003</v>
      </c>
      <c r="F70" s="6">
        <v>13.7449932</v>
      </c>
    </row>
    <row r="71" spans="1:6" x14ac:dyDescent="0.2">
      <c r="A71" s="6" t="s">
        <v>10</v>
      </c>
      <c r="B71" s="6">
        <v>2005</v>
      </c>
      <c r="C71" s="6">
        <v>2009</v>
      </c>
      <c r="D71" s="6">
        <v>10.009134299999999</v>
      </c>
      <c r="E71" s="6">
        <v>8.53337097</v>
      </c>
      <c r="F71" s="6">
        <v>13.2591763</v>
      </c>
    </row>
    <row r="72" spans="1:6" x14ac:dyDescent="0.2">
      <c r="A72" s="6" t="s">
        <v>10</v>
      </c>
      <c r="B72" s="6">
        <v>2010</v>
      </c>
      <c r="C72" s="6">
        <v>2014</v>
      </c>
      <c r="D72" s="6">
        <v>10.184755300000001</v>
      </c>
      <c r="E72" s="6">
        <v>8.6353101700000003</v>
      </c>
      <c r="F72" s="6">
        <v>13.6237745</v>
      </c>
    </row>
    <row r="73" spans="1:6" x14ac:dyDescent="0.2">
      <c r="A73" s="6" t="s">
        <v>10</v>
      </c>
      <c r="B73" s="6">
        <v>2015</v>
      </c>
      <c r="C73" s="6">
        <v>2019</v>
      </c>
      <c r="D73" s="6">
        <v>9.7516078900000007</v>
      </c>
      <c r="E73" s="6">
        <v>8.3387565600000002</v>
      </c>
      <c r="F73" s="6">
        <v>12.886117</v>
      </c>
    </row>
    <row r="74" spans="1:6" x14ac:dyDescent="0.2">
      <c r="A74" s="6" t="s">
        <v>10</v>
      </c>
      <c r="B74" s="6">
        <v>2020</v>
      </c>
      <c r="C74" s="6">
        <v>2024</v>
      </c>
      <c r="D74" s="6">
        <v>10.014897299999999</v>
      </c>
      <c r="E74" s="6">
        <v>8.6086053800000002</v>
      </c>
      <c r="F74" s="6">
        <v>13.0973969</v>
      </c>
    </row>
    <row r="75" spans="1:6" x14ac:dyDescent="0.2">
      <c r="A75" s="6" t="s">
        <v>10</v>
      </c>
      <c r="B75" s="6">
        <v>2025</v>
      </c>
      <c r="C75" s="6">
        <v>2029</v>
      </c>
      <c r="D75" s="6">
        <v>10.5460739</v>
      </c>
      <c r="E75" s="6">
        <v>8.94058609</v>
      </c>
      <c r="F75" s="6">
        <v>14.067744299999999</v>
      </c>
    </row>
    <row r="76" spans="1:6" x14ac:dyDescent="0.2">
      <c r="A76" s="6" t="s">
        <v>10</v>
      </c>
      <c r="B76" s="6">
        <v>2030</v>
      </c>
      <c r="C76" s="6">
        <v>2034</v>
      </c>
      <c r="D76" s="6">
        <v>10.835884099999999</v>
      </c>
      <c r="E76" s="6">
        <v>9.3102960600000007</v>
      </c>
      <c r="F76" s="6">
        <v>14.275761599999999</v>
      </c>
    </row>
    <row r="77" spans="1:6" x14ac:dyDescent="0.2">
      <c r="A77" s="6" t="s">
        <v>10</v>
      </c>
      <c r="B77" s="6">
        <v>2035</v>
      </c>
      <c r="C77" s="6">
        <v>2039</v>
      </c>
      <c r="D77" s="6">
        <v>11.0146303</v>
      </c>
      <c r="E77" s="6">
        <v>9.4143323900000002</v>
      </c>
      <c r="F77" s="6">
        <v>14.5759802</v>
      </c>
    </row>
    <row r="78" spans="1:6" x14ac:dyDescent="0.2">
      <c r="A78" s="6" t="s">
        <v>10</v>
      </c>
      <c r="B78" s="6">
        <v>2040</v>
      </c>
      <c r="C78" s="6">
        <v>2044</v>
      </c>
      <c r="D78" s="6">
        <v>11.274303400000001</v>
      </c>
      <c r="E78" s="6">
        <v>9.8068885800000007</v>
      </c>
      <c r="F78" s="6">
        <v>14.541524900000001</v>
      </c>
    </row>
    <row r="79" spans="1:6" x14ac:dyDescent="0.2">
      <c r="A79" s="6" t="s">
        <v>10</v>
      </c>
      <c r="B79" s="6">
        <v>2045</v>
      </c>
      <c r="C79" s="6">
        <v>2049</v>
      </c>
      <c r="D79" s="6">
        <v>11.9228573</v>
      </c>
      <c r="E79" s="6">
        <v>10.351613</v>
      </c>
      <c r="F79" s="6">
        <v>15.5192604</v>
      </c>
    </row>
    <row r="80" spans="1:6" x14ac:dyDescent="0.2">
      <c r="A80" s="6" t="s">
        <v>10</v>
      </c>
      <c r="B80" s="6">
        <v>2050</v>
      </c>
      <c r="C80" s="6">
        <v>2054</v>
      </c>
      <c r="D80" s="6">
        <v>12.436772299999999</v>
      </c>
      <c r="E80" s="6">
        <v>10.687566800000001</v>
      </c>
      <c r="F80" s="6">
        <v>16.368646600000002</v>
      </c>
    </row>
    <row r="81" spans="1:6" x14ac:dyDescent="0.2">
      <c r="A81" s="6" t="s">
        <v>10</v>
      </c>
      <c r="B81" s="6">
        <v>2055</v>
      </c>
      <c r="C81" s="6">
        <v>2059</v>
      </c>
      <c r="D81" s="6">
        <v>12.509962099999999</v>
      </c>
      <c r="E81" s="6">
        <v>10.9105825</v>
      </c>
      <c r="F81" s="6">
        <v>16.077291500000001</v>
      </c>
    </row>
    <row r="82" spans="1:6" x14ac:dyDescent="0.2">
      <c r="A82" s="6" t="s">
        <v>10</v>
      </c>
      <c r="B82" s="6">
        <v>2060</v>
      </c>
      <c r="C82" s="6">
        <v>2064</v>
      </c>
      <c r="D82" s="6">
        <v>12.6207619</v>
      </c>
      <c r="E82" s="6">
        <v>10.9709845</v>
      </c>
      <c r="F82" s="6">
        <v>16.297594100000001</v>
      </c>
    </row>
    <row r="83" spans="1:6" x14ac:dyDescent="0.2">
      <c r="A83" s="6" t="s">
        <v>10</v>
      </c>
      <c r="B83" s="6">
        <v>2065</v>
      </c>
      <c r="C83" s="6">
        <v>2069</v>
      </c>
      <c r="D83" s="6">
        <v>13.1501942</v>
      </c>
      <c r="E83" s="6">
        <v>11.413755399999999</v>
      </c>
      <c r="F83" s="6">
        <v>17.045290000000001</v>
      </c>
    </row>
    <row r="84" spans="1:6" x14ac:dyDescent="0.2">
      <c r="A84" s="6" t="s">
        <v>10</v>
      </c>
      <c r="B84" s="6">
        <v>2070</v>
      </c>
      <c r="C84" s="6">
        <v>2074</v>
      </c>
      <c r="D84" s="6">
        <v>13.3292141</v>
      </c>
      <c r="E84" s="6">
        <v>11.5533895</v>
      </c>
      <c r="F84" s="6">
        <v>17.302265200000001</v>
      </c>
    </row>
    <row r="85" spans="1:6" x14ac:dyDescent="0.2">
      <c r="A85" s="6" t="s">
        <v>10</v>
      </c>
      <c r="B85" s="6">
        <v>2075</v>
      </c>
      <c r="C85" s="6">
        <v>2079</v>
      </c>
      <c r="D85" s="6">
        <v>13.3300505</v>
      </c>
      <c r="E85" s="6">
        <v>11.303721400000001</v>
      </c>
      <c r="F85" s="6">
        <v>17.8378525</v>
      </c>
    </row>
    <row r="86" spans="1:6" x14ac:dyDescent="0.2">
      <c r="A86" s="6" t="s">
        <v>10</v>
      </c>
      <c r="B86" s="6">
        <v>2080</v>
      </c>
      <c r="C86" s="6">
        <v>2084</v>
      </c>
      <c r="D86" s="6">
        <v>13.5948954</v>
      </c>
      <c r="E86" s="6">
        <v>11.8133535</v>
      </c>
      <c r="F86" s="6">
        <v>17.6169586</v>
      </c>
    </row>
    <row r="87" spans="1:6" x14ac:dyDescent="0.2">
      <c r="A87" s="6" t="s">
        <v>10</v>
      </c>
      <c r="B87" s="6">
        <v>2085</v>
      </c>
      <c r="C87" s="6">
        <v>2089</v>
      </c>
      <c r="D87" s="6">
        <v>13.3195286</v>
      </c>
      <c r="E87" s="6">
        <v>11.3095169</v>
      </c>
      <c r="F87" s="6">
        <v>17.810470599999999</v>
      </c>
    </row>
    <row r="88" spans="1:6" x14ac:dyDescent="0.2">
      <c r="A88" s="6" t="s">
        <v>10</v>
      </c>
      <c r="B88" s="6">
        <v>2090</v>
      </c>
      <c r="C88" s="6">
        <v>2094</v>
      </c>
      <c r="D88" s="6">
        <v>13.4850941</v>
      </c>
      <c r="E88" s="6">
        <v>11.573082899999999</v>
      </c>
      <c r="F88" s="6">
        <v>17.767082200000001</v>
      </c>
    </row>
    <row r="89" spans="1:6" x14ac:dyDescent="0.2">
      <c r="A89" s="6" t="s">
        <v>10</v>
      </c>
      <c r="B89" s="6">
        <v>2095</v>
      </c>
      <c r="C89" s="6">
        <v>2099</v>
      </c>
      <c r="D89" s="6">
        <v>14.549717899999999</v>
      </c>
      <c r="E89" s="6">
        <v>12.515542999999999</v>
      </c>
      <c r="F89" s="6">
        <v>19.078363400000001</v>
      </c>
    </row>
    <row r="90" spans="1:6" x14ac:dyDescent="0.2">
      <c r="A90" s="6" t="s">
        <v>11</v>
      </c>
      <c r="B90" s="6">
        <v>1990</v>
      </c>
      <c r="C90" s="6">
        <v>1994</v>
      </c>
      <c r="D90" s="6">
        <v>8.9190053900000006</v>
      </c>
      <c r="E90" s="6">
        <v>7.5576796499999999</v>
      </c>
      <c r="F90" s="6">
        <v>11.926485100000001</v>
      </c>
    </row>
    <row r="91" spans="1:6" x14ac:dyDescent="0.2">
      <c r="A91" s="6" t="s">
        <v>11</v>
      </c>
      <c r="B91" s="6">
        <v>1995</v>
      </c>
      <c r="C91" s="6">
        <v>1999</v>
      </c>
      <c r="D91" s="6">
        <v>9.5092477800000008</v>
      </c>
      <c r="E91" s="6">
        <v>8.0874557500000002</v>
      </c>
      <c r="F91" s="6">
        <v>12.6833735</v>
      </c>
    </row>
    <row r="92" spans="1:6" x14ac:dyDescent="0.2">
      <c r="A92" s="6" t="s">
        <v>11</v>
      </c>
      <c r="B92" s="6">
        <v>2000</v>
      </c>
      <c r="C92" s="6">
        <v>2004</v>
      </c>
      <c r="D92" s="6">
        <v>9.8412857099999993</v>
      </c>
      <c r="E92" s="6">
        <v>8.3654899599999997</v>
      </c>
      <c r="F92" s="6">
        <v>13.1112223</v>
      </c>
    </row>
    <row r="93" spans="1:6" x14ac:dyDescent="0.2">
      <c r="A93" s="6" t="s">
        <v>11</v>
      </c>
      <c r="B93" s="6">
        <v>2005</v>
      </c>
      <c r="C93" s="6">
        <v>2009</v>
      </c>
      <c r="D93" s="6">
        <v>9.4971446999999998</v>
      </c>
      <c r="E93" s="6">
        <v>8.1138010000000005</v>
      </c>
      <c r="F93" s="6">
        <v>12.541277900000001</v>
      </c>
    </row>
    <row r="94" spans="1:6" x14ac:dyDescent="0.2">
      <c r="A94" s="6" t="s">
        <v>11</v>
      </c>
      <c r="B94" s="6">
        <v>2010</v>
      </c>
      <c r="C94" s="6">
        <v>2014</v>
      </c>
      <c r="D94" s="6">
        <v>9.5079278899999995</v>
      </c>
      <c r="E94" s="6">
        <v>8.13249493</v>
      </c>
      <c r="F94" s="6">
        <v>12.545500799999999</v>
      </c>
    </row>
    <row r="95" spans="1:6" x14ac:dyDescent="0.2">
      <c r="A95" s="6" t="s">
        <v>11</v>
      </c>
      <c r="B95" s="6">
        <v>2015</v>
      </c>
      <c r="C95" s="6">
        <v>2019</v>
      </c>
      <c r="D95" s="6">
        <v>9.3065252300000001</v>
      </c>
      <c r="E95" s="6">
        <v>7.8457346000000001</v>
      </c>
      <c r="F95" s="6">
        <v>12.4727011</v>
      </c>
    </row>
    <row r="96" spans="1:6" x14ac:dyDescent="0.2">
      <c r="A96" s="6" t="s">
        <v>11</v>
      </c>
      <c r="B96" s="6">
        <v>2020</v>
      </c>
      <c r="C96" s="6">
        <v>2024</v>
      </c>
      <c r="D96" s="6">
        <v>9.8287286799999993</v>
      </c>
      <c r="E96" s="6">
        <v>8.4093523000000001</v>
      </c>
      <c r="F96" s="6">
        <v>13.0011139</v>
      </c>
    </row>
    <row r="97" spans="1:6" x14ac:dyDescent="0.2">
      <c r="A97" s="6" t="s">
        <v>11</v>
      </c>
      <c r="B97" s="6">
        <v>2025</v>
      </c>
      <c r="C97" s="6">
        <v>2029</v>
      </c>
      <c r="D97" s="6">
        <v>9.9066476800000007</v>
      </c>
      <c r="E97" s="6">
        <v>8.5085143999999993</v>
      </c>
      <c r="F97" s="6">
        <v>13.0018587</v>
      </c>
    </row>
    <row r="98" spans="1:6" x14ac:dyDescent="0.2">
      <c r="A98" s="6" t="s">
        <v>11</v>
      </c>
      <c r="B98" s="6">
        <v>2030</v>
      </c>
      <c r="C98" s="6">
        <v>2034</v>
      </c>
      <c r="D98" s="6">
        <v>9.8661708800000003</v>
      </c>
      <c r="E98" s="6">
        <v>8.3518037799999991</v>
      </c>
      <c r="F98" s="6">
        <v>13.1861792</v>
      </c>
    </row>
    <row r="99" spans="1:6" x14ac:dyDescent="0.2">
      <c r="A99" s="6" t="s">
        <v>11</v>
      </c>
      <c r="B99" s="6">
        <v>2035</v>
      </c>
      <c r="C99" s="6">
        <v>2039</v>
      </c>
      <c r="D99" s="6">
        <v>9.8298149099999996</v>
      </c>
      <c r="E99" s="6">
        <v>8.41309547</v>
      </c>
      <c r="F99" s="6">
        <v>12.949175800000001</v>
      </c>
    </row>
    <row r="100" spans="1:6" x14ac:dyDescent="0.2">
      <c r="A100" s="6" t="s">
        <v>11</v>
      </c>
      <c r="B100" s="6">
        <v>2040</v>
      </c>
      <c r="C100" s="6">
        <v>2044</v>
      </c>
      <c r="D100" s="6">
        <v>10.998071700000001</v>
      </c>
      <c r="E100" s="6">
        <v>9.3878545800000008</v>
      </c>
      <c r="F100" s="6">
        <v>14.599547400000001</v>
      </c>
    </row>
    <row r="101" spans="1:6" x14ac:dyDescent="0.2">
      <c r="A101" s="6" t="s">
        <v>11</v>
      </c>
      <c r="B101" s="6">
        <v>2045</v>
      </c>
      <c r="C101" s="6">
        <v>2049</v>
      </c>
      <c r="D101" s="6">
        <v>10.9636669</v>
      </c>
      <c r="E101" s="6">
        <v>9.3516531000000001</v>
      </c>
      <c r="F101" s="6">
        <v>14.544108400000001</v>
      </c>
    </row>
    <row r="102" spans="1:6" x14ac:dyDescent="0.2">
      <c r="A102" s="6" t="s">
        <v>11</v>
      </c>
      <c r="B102" s="6">
        <v>2050</v>
      </c>
      <c r="C102" s="6">
        <v>2054</v>
      </c>
      <c r="D102" s="6">
        <v>10.9487524</v>
      </c>
      <c r="E102" s="6">
        <v>9.3586978900000002</v>
      </c>
      <c r="F102" s="6">
        <v>14.4591627</v>
      </c>
    </row>
    <row r="103" spans="1:6" x14ac:dyDescent="0.2">
      <c r="A103" s="6" t="s">
        <v>11</v>
      </c>
      <c r="B103" s="6">
        <v>2055</v>
      </c>
      <c r="C103" s="6">
        <v>2059</v>
      </c>
      <c r="D103" s="6">
        <v>11.8817711</v>
      </c>
      <c r="E103" s="6">
        <v>10.1265459</v>
      </c>
      <c r="F103" s="6">
        <v>15.724534</v>
      </c>
    </row>
    <row r="104" spans="1:6" x14ac:dyDescent="0.2">
      <c r="A104" s="6" t="s">
        <v>11</v>
      </c>
      <c r="B104" s="6">
        <v>2060</v>
      </c>
      <c r="C104" s="6">
        <v>2064</v>
      </c>
      <c r="D104" s="6">
        <v>11.7770338</v>
      </c>
      <c r="E104" s="6">
        <v>10.089734099999999</v>
      </c>
      <c r="F104" s="6">
        <v>15.4939938</v>
      </c>
    </row>
    <row r="105" spans="1:6" x14ac:dyDescent="0.2">
      <c r="A105" s="6" t="s">
        <v>11</v>
      </c>
      <c r="B105" s="6">
        <v>2065</v>
      </c>
      <c r="C105" s="6">
        <v>2069</v>
      </c>
      <c r="D105" s="6">
        <v>11.985208500000001</v>
      </c>
      <c r="E105" s="6">
        <v>10.2732124</v>
      </c>
      <c r="F105" s="6">
        <v>15.788658099999999</v>
      </c>
    </row>
    <row r="106" spans="1:6" x14ac:dyDescent="0.2">
      <c r="A106" s="6" t="s">
        <v>11</v>
      </c>
      <c r="B106" s="6">
        <v>2070</v>
      </c>
      <c r="C106" s="6">
        <v>2074</v>
      </c>
      <c r="D106" s="6">
        <v>11.887560799999999</v>
      </c>
      <c r="E106" s="6">
        <v>10.228290599999999</v>
      </c>
      <c r="F106" s="6">
        <v>15.528451</v>
      </c>
    </row>
    <row r="107" spans="1:6" x14ac:dyDescent="0.2">
      <c r="A107" s="6" t="s">
        <v>11</v>
      </c>
      <c r="B107" s="6">
        <v>2075</v>
      </c>
      <c r="C107" s="6">
        <v>2079</v>
      </c>
      <c r="D107" s="6">
        <v>12.676010099999999</v>
      </c>
      <c r="E107" s="6">
        <v>10.8135548</v>
      </c>
      <c r="F107" s="6">
        <v>16.7990055</v>
      </c>
    </row>
    <row r="108" spans="1:6" x14ac:dyDescent="0.2">
      <c r="A108" s="6" t="s">
        <v>11</v>
      </c>
      <c r="B108" s="6">
        <v>2080</v>
      </c>
      <c r="C108" s="6">
        <v>2084</v>
      </c>
      <c r="D108" s="6">
        <v>13.299460399999999</v>
      </c>
      <c r="E108" s="6">
        <v>11.2920856</v>
      </c>
      <c r="F108" s="6">
        <v>17.7781448</v>
      </c>
    </row>
    <row r="109" spans="1:6" x14ac:dyDescent="0.2">
      <c r="A109" s="6" t="s">
        <v>11</v>
      </c>
      <c r="B109" s="6">
        <v>2085</v>
      </c>
      <c r="C109" s="6">
        <v>2089</v>
      </c>
      <c r="D109" s="6">
        <v>12.730752000000001</v>
      </c>
      <c r="E109" s="6">
        <v>10.909267399999999</v>
      </c>
      <c r="F109" s="6">
        <v>16.783479700000001</v>
      </c>
    </row>
    <row r="110" spans="1:6" x14ac:dyDescent="0.2">
      <c r="A110" s="6" t="s">
        <v>11</v>
      </c>
      <c r="B110" s="6">
        <v>2090</v>
      </c>
      <c r="C110" s="6">
        <v>2094</v>
      </c>
      <c r="D110" s="6">
        <v>13.023243900000001</v>
      </c>
      <c r="E110" s="6">
        <v>11.4187183</v>
      </c>
      <c r="F110" s="6">
        <v>16.725076699999999</v>
      </c>
    </row>
    <row r="111" spans="1:6" x14ac:dyDescent="0.2">
      <c r="A111" s="6" t="s">
        <v>11</v>
      </c>
      <c r="B111" s="6">
        <v>2095</v>
      </c>
      <c r="C111" s="6">
        <v>2099</v>
      </c>
      <c r="D111" s="6">
        <v>12.677102100000001</v>
      </c>
      <c r="E111" s="6">
        <v>10.8428431</v>
      </c>
      <c r="F111" s="6">
        <v>16.7326412</v>
      </c>
    </row>
    <row r="112" spans="1:6" x14ac:dyDescent="0.2">
      <c r="A112" s="6" t="s">
        <v>12</v>
      </c>
      <c r="B112" s="6">
        <v>1990</v>
      </c>
      <c r="C112" s="6">
        <v>1994</v>
      </c>
      <c r="D112" s="6">
        <v>8.7900686300000004</v>
      </c>
      <c r="E112" s="6">
        <v>6.8006529799999997</v>
      </c>
      <c r="F112" s="6">
        <v>11.996665999999999</v>
      </c>
    </row>
    <row r="113" spans="1:6" x14ac:dyDescent="0.2">
      <c r="A113" s="6" t="s">
        <v>12</v>
      </c>
      <c r="B113" s="6">
        <v>1995</v>
      </c>
      <c r="C113" s="6">
        <v>1999</v>
      </c>
      <c r="D113" s="6">
        <v>9.3708505599999992</v>
      </c>
      <c r="E113" s="6">
        <v>7.3112163499999996</v>
      </c>
      <c r="F113" s="6">
        <v>12.708685900000001</v>
      </c>
    </row>
    <row r="114" spans="1:6" x14ac:dyDescent="0.2">
      <c r="A114" s="6" t="s">
        <v>12</v>
      </c>
      <c r="B114" s="6">
        <v>2000</v>
      </c>
      <c r="C114" s="6">
        <v>2004</v>
      </c>
      <c r="D114" s="6">
        <v>9.4044752099999993</v>
      </c>
      <c r="E114" s="6">
        <v>7.19971943</v>
      </c>
      <c r="F114" s="6">
        <v>12.9540758</v>
      </c>
    </row>
    <row r="115" spans="1:6" x14ac:dyDescent="0.2">
      <c r="A115" s="6" t="s">
        <v>12</v>
      </c>
      <c r="B115" s="6">
        <v>2005</v>
      </c>
      <c r="C115" s="6">
        <v>2009</v>
      </c>
      <c r="D115" s="6">
        <v>9.1769828800000006</v>
      </c>
      <c r="E115" s="6">
        <v>6.9863061899999996</v>
      </c>
      <c r="F115" s="6">
        <v>12.6790991</v>
      </c>
    </row>
    <row r="116" spans="1:6" x14ac:dyDescent="0.2">
      <c r="A116" s="6" t="s">
        <v>12</v>
      </c>
      <c r="B116" s="6">
        <v>2010</v>
      </c>
      <c r="C116" s="6">
        <v>2014</v>
      </c>
      <c r="D116" s="6">
        <v>10.061757099999999</v>
      </c>
      <c r="E116" s="6">
        <v>7.79518223</v>
      </c>
      <c r="F116" s="6">
        <v>13.7220516</v>
      </c>
    </row>
    <row r="117" spans="1:6" x14ac:dyDescent="0.2">
      <c r="A117" s="6" t="s">
        <v>12</v>
      </c>
      <c r="B117" s="6">
        <v>2015</v>
      </c>
      <c r="C117" s="6">
        <v>2019</v>
      </c>
      <c r="D117" s="6">
        <v>9.7354984299999998</v>
      </c>
      <c r="E117" s="6">
        <v>7.5268316300000002</v>
      </c>
      <c r="F117" s="6">
        <v>13.290980299999999</v>
      </c>
    </row>
    <row r="118" spans="1:6" x14ac:dyDescent="0.2">
      <c r="A118" s="6" t="s">
        <v>12</v>
      </c>
      <c r="B118" s="6">
        <v>2020</v>
      </c>
      <c r="C118" s="6">
        <v>2024</v>
      </c>
      <c r="D118" s="6">
        <v>9.6599779100000003</v>
      </c>
      <c r="E118" s="6">
        <v>7.3945531799999999</v>
      </c>
      <c r="F118" s="6">
        <v>13.3244171</v>
      </c>
    </row>
    <row r="119" spans="1:6" x14ac:dyDescent="0.2">
      <c r="A119" s="6" t="s">
        <v>12</v>
      </c>
      <c r="B119" s="6">
        <v>2025</v>
      </c>
      <c r="C119" s="6">
        <v>2029</v>
      </c>
      <c r="D119" s="6">
        <v>10.444573399999999</v>
      </c>
      <c r="E119" s="6">
        <v>8.1565923700000003</v>
      </c>
      <c r="F119" s="6">
        <v>14.173150100000001</v>
      </c>
    </row>
    <row r="120" spans="1:6" x14ac:dyDescent="0.2">
      <c r="A120" s="6" t="s">
        <v>12</v>
      </c>
      <c r="B120" s="6">
        <v>2030</v>
      </c>
      <c r="C120" s="6">
        <v>2034</v>
      </c>
      <c r="D120" s="6">
        <v>11.7362223</v>
      </c>
      <c r="E120" s="6">
        <v>9.2326498000000008</v>
      </c>
      <c r="F120" s="6">
        <v>15.8499842</v>
      </c>
    </row>
    <row r="121" spans="1:6" x14ac:dyDescent="0.2">
      <c r="A121" s="6" t="s">
        <v>12</v>
      </c>
      <c r="B121" s="6">
        <v>2035</v>
      </c>
      <c r="C121" s="6">
        <v>2039</v>
      </c>
      <c r="D121" s="6">
        <v>10.834218</v>
      </c>
      <c r="E121" s="6">
        <v>8.4024620100000007</v>
      </c>
      <c r="F121" s="6">
        <v>14.763235999999999</v>
      </c>
    </row>
    <row r="122" spans="1:6" x14ac:dyDescent="0.2">
      <c r="A122" s="6" t="s">
        <v>12</v>
      </c>
      <c r="B122" s="6">
        <v>2040</v>
      </c>
      <c r="C122" s="6">
        <v>2044</v>
      </c>
      <c r="D122" s="6">
        <v>11.484973</v>
      </c>
      <c r="E122" s="6">
        <v>8.9293365500000004</v>
      </c>
      <c r="F122" s="6">
        <v>15.6534014</v>
      </c>
    </row>
    <row r="123" spans="1:6" x14ac:dyDescent="0.2">
      <c r="A123" s="6" t="s">
        <v>12</v>
      </c>
      <c r="B123" s="6">
        <v>2045</v>
      </c>
      <c r="C123" s="6">
        <v>2049</v>
      </c>
      <c r="D123" s="6">
        <v>11.2549305</v>
      </c>
      <c r="E123" s="6">
        <v>8.8276872599999994</v>
      </c>
      <c r="F123" s="6">
        <v>15.236344300000001</v>
      </c>
    </row>
    <row r="124" spans="1:6" x14ac:dyDescent="0.2">
      <c r="A124" s="6" t="s">
        <v>12</v>
      </c>
      <c r="B124" s="6">
        <v>2050</v>
      </c>
      <c r="C124" s="6">
        <v>2054</v>
      </c>
      <c r="D124" s="6">
        <v>11.2391386</v>
      </c>
      <c r="E124" s="6">
        <v>8.7714528999999999</v>
      </c>
      <c r="F124" s="6">
        <v>15.23489</v>
      </c>
    </row>
    <row r="125" spans="1:6" x14ac:dyDescent="0.2">
      <c r="A125" s="6" t="s">
        <v>12</v>
      </c>
      <c r="B125" s="6">
        <v>2055</v>
      </c>
      <c r="C125" s="6">
        <v>2059</v>
      </c>
      <c r="D125" s="6">
        <v>12.080765700000001</v>
      </c>
      <c r="E125" s="6">
        <v>9.4813289600000008</v>
      </c>
      <c r="F125" s="6">
        <v>16.3270321</v>
      </c>
    </row>
    <row r="126" spans="1:6" x14ac:dyDescent="0.2">
      <c r="A126" s="6" t="s">
        <v>12</v>
      </c>
      <c r="B126" s="6">
        <v>2060</v>
      </c>
      <c r="C126" s="6">
        <v>2064</v>
      </c>
      <c r="D126" s="6">
        <v>12.3325853</v>
      </c>
      <c r="E126" s="6">
        <v>9.7336978900000002</v>
      </c>
      <c r="F126" s="6">
        <v>16.5817184</v>
      </c>
    </row>
    <row r="127" spans="1:6" x14ac:dyDescent="0.2">
      <c r="A127" s="6" t="s">
        <v>12</v>
      </c>
      <c r="B127" s="6">
        <v>2065</v>
      </c>
      <c r="C127" s="6">
        <v>2069</v>
      </c>
      <c r="D127" s="6">
        <v>12.368013400000001</v>
      </c>
      <c r="E127" s="6">
        <v>9.6505184199999992</v>
      </c>
      <c r="F127" s="6">
        <v>16.8457756</v>
      </c>
    </row>
    <row r="128" spans="1:6" x14ac:dyDescent="0.2">
      <c r="A128" s="6" t="s">
        <v>12</v>
      </c>
      <c r="B128" s="6">
        <v>2070</v>
      </c>
      <c r="C128" s="6">
        <v>2074</v>
      </c>
      <c r="D128" s="6">
        <v>12.319037399999999</v>
      </c>
      <c r="E128" s="6">
        <v>9.4807529400000004</v>
      </c>
      <c r="F128" s="6">
        <v>16.946443599999998</v>
      </c>
    </row>
    <row r="129" spans="1:6" x14ac:dyDescent="0.2">
      <c r="A129" s="6" t="s">
        <v>12</v>
      </c>
      <c r="B129" s="6">
        <v>2075</v>
      </c>
      <c r="C129" s="6">
        <v>2079</v>
      </c>
      <c r="D129" s="6">
        <v>12.760379800000001</v>
      </c>
      <c r="E129" s="6">
        <v>9.9233760800000006</v>
      </c>
      <c r="F129" s="6">
        <v>17.427492099999998</v>
      </c>
    </row>
    <row r="130" spans="1:6" x14ac:dyDescent="0.2">
      <c r="A130" s="6" t="s">
        <v>12</v>
      </c>
      <c r="B130" s="6">
        <v>2080</v>
      </c>
      <c r="C130" s="6">
        <v>2084</v>
      </c>
      <c r="D130" s="6">
        <v>14.293095599999999</v>
      </c>
      <c r="E130" s="6">
        <v>11.393902799999999</v>
      </c>
      <c r="F130" s="6">
        <v>19.125900300000001</v>
      </c>
    </row>
    <row r="131" spans="1:6" x14ac:dyDescent="0.2">
      <c r="A131" s="6" t="s">
        <v>12</v>
      </c>
      <c r="B131" s="6">
        <v>2085</v>
      </c>
      <c r="C131" s="6">
        <v>2089</v>
      </c>
      <c r="D131" s="6">
        <v>14.2396584</v>
      </c>
      <c r="E131" s="6">
        <v>11.1532784</v>
      </c>
      <c r="F131" s="6">
        <v>19.334499399999999</v>
      </c>
    </row>
    <row r="132" spans="1:6" x14ac:dyDescent="0.2">
      <c r="A132" s="6" t="s">
        <v>12</v>
      </c>
      <c r="B132" s="6">
        <v>2090</v>
      </c>
      <c r="C132" s="6">
        <v>2094</v>
      </c>
      <c r="D132" s="6">
        <v>14.7829695</v>
      </c>
      <c r="E132" s="6">
        <v>11.735469800000001</v>
      </c>
      <c r="F132" s="6">
        <v>19.866758300000001</v>
      </c>
    </row>
    <row r="133" spans="1:6" x14ac:dyDescent="0.2">
      <c r="A133" s="6" t="s">
        <v>12</v>
      </c>
      <c r="B133" s="6">
        <v>2095</v>
      </c>
      <c r="C133" s="6">
        <v>2099</v>
      </c>
      <c r="D133" s="6">
        <v>14.276290899999999</v>
      </c>
      <c r="E133" s="6">
        <v>11.0321465</v>
      </c>
      <c r="F133" s="6">
        <v>19.609174700000001</v>
      </c>
    </row>
    <row r="134" spans="1:6" x14ac:dyDescent="0.2">
      <c r="A134" s="6" t="s">
        <v>13</v>
      </c>
      <c r="B134" s="6">
        <v>1990</v>
      </c>
      <c r="C134" s="6">
        <v>1994</v>
      </c>
      <c r="D134" s="6">
        <v>6.8068747500000004</v>
      </c>
      <c r="E134" s="6">
        <v>5.2949218800000004</v>
      </c>
      <c r="F134" s="6">
        <v>10.262629499999999</v>
      </c>
    </row>
    <row r="135" spans="1:6" x14ac:dyDescent="0.2">
      <c r="A135" s="6" t="s">
        <v>13</v>
      </c>
      <c r="B135" s="6">
        <v>1995</v>
      </c>
      <c r="C135" s="6">
        <v>1999</v>
      </c>
      <c r="D135" s="6">
        <v>6.9548835799999997</v>
      </c>
      <c r="E135" s="6">
        <v>5.2514510200000002</v>
      </c>
      <c r="F135" s="6">
        <v>10.8616896</v>
      </c>
    </row>
    <row r="136" spans="1:6" x14ac:dyDescent="0.2">
      <c r="A136" s="6" t="s">
        <v>13</v>
      </c>
      <c r="B136" s="6">
        <v>2000</v>
      </c>
      <c r="C136" s="6">
        <v>2004</v>
      </c>
      <c r="D136" s="6">
        <v>7.1734566700000002</v>
      </c>
      <c r="E136" s="6">
        <v>5.5673518199999998</v>
      </c>
      <c r="F136" s="6">
        <v>10.878841400000001</v>
      </c>
    </row>
    <row r="137" spans="1:6" x14ac:dyDescent="0.2">
      <c r="A137" s="6" t="s">
        <v>13</v>
      </c>
      <c r="B137" s="6">
        <v>2005</v>
      </c>
      <c r="C137" s="6">
        <v>2009</v>
      </c>
      <c r="D137" s="6">
        <v>7.3139295600000001</v>
      </c>
      <c r="E137" s="6">
        <v>5.72296095</v>
      </c>
      <c r="F137" s="6">
        <v>10.9782276</v>
      </c>
    </row>
    <row r="138" spans="1:6" x14ac:dyDescent="0.2">
      <c r="A138" s="6" t="s">
        <v>13</v>
      </c>
      <c r="B138" s="6">
        <v>2010</v>
      </c>
      <c r="C138" s="6">
        <v>2014</v>
      </c>
      <c r="D138" s="6">
        <v>7.2398738900000001</v>
      </c>
      <c r="E138" s="6">
        <v>5.6069469500000002</v>
      </c>
      <c r="F138" s="6">
        <v>11.013820600000001</v>
      </c>
    </row>
    <row r="139" spans="1:6" x14ac:dyDescent="0.2">
      <c r="A139" s="6" t="s">
        <v>13</v>
      </c>
      <c r="B139" s="6">
        <v>2015</v>
      </c>
      <c r="C139" s="6">
        <v>2019</v>
      </c>
      <c r="D139" s="6">
        <v>7.2597598999999997</v>
      </c>
      <c r="E139" s="6">
        <v>5.6492028200000002</v>
      </c>
      <c r="F139" s="6">
        <v>10.945878</v>
      </c>
    </row>
    <row r="140" spans="1:6" x14ac:dyDescent="0.2">
      <c r="A140" s="6" t="s">
        <v>13</v>
      </c>
      <c r="B140" s="6">
        <v>2020</v>
      </c>
      <c r="C140" s="6">
        <v>2024</v>
      </c>
      <c r="D140" s="6">
        <v>7.4346666299999997</v>
      </c>
      <c r="E140" s="6">
        <v>5.6972927999999996</v>
      </c>
      <c r="F140" s="6">
        <v>11.456798600000001</v>
      </c>
    </row>
    <row r="141" spans="1:6" x14ac:dyDescent="0.2">
      <c r="A141" s="6" t="s">
        <v>13</v>
      </c>
      <c r="B141" s="6">
        <v>2025</v>
      </c>
      <c r="C141" s="6">
        <v>2029</v>
      </c>
      <c r="D141" s="6">
        <v>7.4868831599999996</v>
      </c>
      <c r="E141" s="6">
        <v>5.8375721</v>
      </c>
      <c r="F141" s="6">
        <v>11.349057200000001</v>
      </c>
    </row>
    <row r="142" spans="1:6" x14ac:dyDescent="0.2">
      <c r="A142" s="6" t="s">
        <v>13</v>
      </c>
      <c r="B142" s="6">
        <v>2030</v>
      </c>
      <c r="C142" s="6">
        <v>2034</v>
      </c>
      <c r="D142" s="6">
        <v>7.6227559999999999</v>
      </c>
      <c r="E142" s="6">
        <v>5.8932809800000001</v>
      </c>
      <c r="F142" s="6">
        <v>11.5573502</v>
      </c>
    </row>
    <row r="143" spans="1:6" x14ac:dyDescent="0.2">
      <c r="A143" s="6" t="s">
        <v>13</v>
      </c>
      <c r="B143" s="6">
        <v>2035</v>
      </c>
      <c r="C143" s="6">
        <v>2039</v>
      </c>
      <c r="D143" s="6">
        <v>7.8960604700000001</v>
      </c>
      <c r="E143" s="6">
        <v>6.2364573500000002</v>
      </c>
      <c r="F143" s="6">
        <v>11.751039499999999</v>
      </c>
    </row>
    <row r="144" spans="1:6" x14ac:dyDescent="0.2">
      <c r="A144" s="6" t="s">
        <v>13</v>
      </c>
      <c r="B144" s="6">
        <v>2040</v>
      </c>
      <c r="C144" s="6">
        <v>2044</v>
      </c>
      <c r="D144" s="6">
        <v>8.0873260499999997</v>
      </c>
      <c r="E144" s="6">
        <v>6.3189759299999997</v>
      </c>
      <c r="F144" s="6">
        <v>12.244192099999999</v>
      </c>
    </row>
    <row r="145" spans="1:6" x14ac:dyDescent="0.2">
      <c r="A145" s="6" t="s">
        <v>13</v>
      </c>
      <c r="B145" s="6">
        <v>2045</v>
      </c>
      <c r="C145" s="6">
        <v>2049</v>
      </c>
      <c r="D145" s="6">
        <v>7.9242024400000002</v>
      </c>
      <c r="E145" s="6">
        <v>6.11277151</v>
      </c>
      <c r="F145" s="6">
        <v>12.1240253</v>
      </c>
    </row>
    <row r="146" spans="1:6" x14ac:dyDescent="0.2">
      <c r="A146" s="6" t="s">
        <v>13</v>
      </c>
      <c r="B146" s="6">
        <v>2050</v>
      </c>
      <c r="C146" s="6">
        <v>2054</v>
      </c>
      <c r="D146" s="6">
        <v>8.3032856000000006</v>
      </c>
      <c r="E146" s="6">
        <v>6.4235644299999999</v>
      </c>
      <c r="F146" s="6">
        <v>12.677002</v>
      </c>
    </row>
    <row r="147" spans="1:6" x14ac:dyDescent="0.2">
      <c r="A147" s="6" t="s">
        <v>13</v>
      </c>
      <c r="B147" s="6">
        <v>2055</v>
      </c>
      <c r="C147" s="6">
        <v>2059</v>
      </c>
      <c r="D147" s="6">
        <v>8.6082286799999999</v>
      </c>
      <c r="E147" s="6">
        <v>6.7370886800000003</v>
      </c>
      <c r="F147" s="6">
        <v>12.9296293</v>
      </c>
    </row>
    <row r="148" spans="1:6" x14ac:dyDescent="0.2">
      <c r="A148" s="6" t="s">
        <v>13</v>
      </c>
      <c r="B148" s="6">
        <v>2060</v>
      </c>
      <c r="C148" s="6">
        <v>2064</v>
      </c>
      <c r="D148" s="6">
        <v>8.5911531399999994</v>
      </c>
      <c r="E148" s="6">
        <v>6.6428971299999997</v>
      </c>
      <c r="F148" s="6">
        <v>13.0482178</v>
      </c>
    </row>
    <row r="149" spans="1:6" x14ac:dyDescent="0.2">
      <c r="A149" s="6" t="s">
        <v>13</v>
      </c>
      <c r="B149" s="6">
        <v>2065</v>
      </c>
      <c r="C149" s="6">
        <v>2069</v>
      </c>
      <c r="D149" s="6">
        <v>8.1775856000000005</v>
      </c>
      <c r="E149" s="6">
        <v>6.3906855599999997</v>
      </c>
      <c r="F149" s="6">
        <v>12.302989999999999</v>
      </c>
    </row>
    <row r="150" spans="1:6" x14ac:dyDescent="0.2">
      <c r="A150" s="6" t="s">
        <v>13</v>
      </c>
      <c r="B150" s="6">
        <v>2070</v>
      </c>
      <c r="C150" s="6">
        <v>2074</v>
      </c>
      <c r="D150" s="6">
        <v>8.3806381200000004</v>
      </c>
      <c r="E150" s="6">
        <v>6.6563034099999996</v>
      </c>
      <c r="F150" s="6">
        <v>12.3798838</v>
      </c>
    </row>
    <row r="151" spans="1:6" x14ac:dyDescent="0.2">
      <c r="A151" s="6" t="s">
        <v>13</v>
      </c>
      <c r="B151" s="6">
        <v>2075</v>
      </c>
      <c r="C151" s="6">
        <v>2079</v>
      </c>
      <c r="D151" s="6">
        <v>8.4614553499999996</v>
      </c>
      <c r="E151" s="6">
        <v>6.6918697399999996</v>
      </c>
      <c r="F151" s="6">
        <v>12.522522</v>
      </c>
    </row>
    <row r="152" spans="1:6" x14ac:dyDescent="0.2">
      <c r="A152" s="6" t="s">
        <v>13</v>
      </c>
      <c r="B152" s="6">
        <v>2080</v>
      </c>
      <c r="C152" s="6">
        <v>2084</v>
      </c>
      <c r="D152" s="6">
        <v>8.5003805200000002</v>
      </c>
      <c r="E152" s="6">
        <v>6.6656708699999996</v>
      </c>
      <c r="F152" s="6">
        <v>12.7198648</v>
      </c>
    </row>
    <row r="153" spans="1:6" x14ac:dyDescent="0.2">
      <c r="A153" s="6" t="s">
        <v>13</v>
      </c>
      <c r="B153" s="6">
        <v>2085</v>
      </c>
      <c r="C153" s="6">
        <v>2089</v>
      </c>
      <c r="D153" s="6">
        <v>8.3467054399999991</v>
      </c>
      <c r="E153" s="6">
        <v>6.5054449999999999</v>
      </c>
      <c r="F153" s="6">
        <v>12.5513659</v>
      </c>
    </row>
    <row r="154" spans="1:6" x14ac:dyDescent="0.2">
      <c r="A154" s="6" t="s">
        <v>13</v>
      </c>
      <c r="B154" s="6">
        <v>2090</v>
      </c>
      <c r="C154" s="6">
        <v>2094</v>
      </c>
      <c r="D154" s="6">
        <v>8.6241140400000003</v>
      </c>
      <c r="E154" s="6">
        <v>6.7395739600000004</v>
      </c>
      <c r="F154" s="6">
        <v>13.007096300000001</v>
      </c>
    </row>
    <row r="155" spans="1:6" x14ac:dyDescent="0.2">
      <c r="A155" s="6" t="s">
        <v>13</v>
      </c>
      <c r="B155" s="6">
        <v>2095</v>
      </c>
      <c r="C155" s="6">
        <v>2099</v>
      </c>
      <c r="D155" s="6">
        <v>9.3410863899999992</v>
      </c>
      <c r="E155" s="6">
        <v>7.2749214200000001</v>
      </c>
      <c r="F155" s="6">
        <v>14.054368</v>
      </c>
    </row>
    <row r="156" spans="1:6" x14ac:dyDescent="0.2">
      <c r="A156" s="6" t="s">
        <v>26</v>
      </c>
      <c r="B156" s="6">
        <v>1990</v>
      </c>
      <c r="C156" s="6">
        <v>1994</v>
      </c>
      <c r="D156" s="6">
        <v>6.6936030400000002</v>
      </c>
      <c r="E156" s="6">
        <v>5.9788379699999998</v>
      </c>
      <c r="F156" s="6">
        <v>8.91404438</v>
      </c>
    </row>
    <row r="157" spans="1:6" x14ac:dyDescent="0.2">
      <c r="A157" s="6" t="s">
        <v>26</v>
      </c>
      <c r="B157" s="6">
        <v>1995</v>
      </c>
      <c r="C157" s="6">
        <v>1999</v>
      </c>
      <c r="D157" s="6">
        <v>7.3906626700000002</v>
      </c>
      <c r="E157" s="6">
        <v>6.6303262700000003</v>
      </c>
      <c r="F157" s="6">
        <v>9.8560848199999995</v>
      </c>
    </row>
    <row r="158" spans="1:6" x14ac:dyDescent="0.2">
      <c r="A158" s="6" t="s">
        <v>26</v>
      </c>
      <c r="B158" s="6">
        <v>2000</v>
      </c>
      <c r="C158" s="6">
        <v>2004</v>
      </c>
      <c r="D158" s="6">
        <v>7.4680390399999999</v>
      </c>
      <c r="E158" s="6">
        <v>6.6744341900000004</v>
      </c>
      <c r="F158" s="6">
        <v>10.019034400000001</v>
      </c>
    </row>
    <row r="159" spans="1:6" x14ac:dyDescent="0.2">
      <c r="A159" s="6" t="s">
        <v>26</v>
      </c>
      <c r="B159" s="6">
        <v>2005</v>
      </c>
      <c r="C159" s="6">
        <v>2009</v>
      </c>
      <c r="D159" s="6">
        <v>7.1335830700000002</v>
      </c>
      <c r="E159" s="6">
        <v>6.3630237599999999</v>
      </c>
      <c r="F159" s="6">
        <v>9.4884023699999993</v>
      </c>
    </row>
    <row r="160" spans="1:6" x14ac:dyDescent="0.2">
      <c r="A160" s="6" t="s">
        <v>26</v>
      </c>
      <c r="B160" s="6">
        <v>2010</v>
      </c>
      <c r="C160" s="6">
        <v>2014</v>
      </c>
      <c r="D160" s="6">
        <v>7.5319232899999999</v>
      </c>
      <c r="E160" s="6">
        <v>6.7400989500000001</v>
      </c>
      <c r="F160" s="6">
        <v>9.9835815399999994</v>
      </c>
    </row>
    <row r="161" spans="1:6" x14ac:dyDescent="0.2">
      <c r="A161" s="6" t="s">
        <v>26</v>
      </c>
      <c r="B161" s="6">
        <v>2015</v>
      </c>
      <c r="C161" s="6">
        <v>2019</v>
      </c>
      <c r="D161" s="6">
        <v>7.5658307100000002</v>
      </c>
      <c r="E161" s="6">
        <v>6.7346787499999996</v>
      </c>
      <c r="F161" s="6">
        <v>10.1810884</v>
      </c>
    </row>
    <row r="162" spans="1:6" x14ac:dyDescent="0.2">
      <c r="A162" s="6" t="s">
        <v>26</v>
      </c>
      <c r="B162" s="6">
        <v>2020</v>
      </c>
      <c r="C162" s="6">
        <v>2024</v>
      </c>
      <c r="D162" s="6">
        <v>8.15016842</v>
      </c>
      <c r="E162" s="6">
        <v>7.3698949799999998</v>
      </c>
      <c r="F162" s="6">
        <v>10.7371979</v>
      </c>
    </row>
    <row r="163" spans="1:6" x14ac:dyDescent="0.2">
      <c r="A163" s="6" t="s">
        <v>26</v>
      </c>
      <c r="B163" s="6">
        <v>2025</v>
      </c>
      <c r="C163" s="6">
        <v>2029</v>
      </c>
      <c r="D163" s="6">
        <v>8.3588256800000007</v>
      </c>
      <c r="E163" s="6">
        <v>7.5492377299999998</v>
      </c>
      <c r="F163" s="6">
        <v>10.9526501</v>
      </c>
    </row>
    <row r="164" spans="1:6" x14ac:dyDescent="0.2">
      <c r="A164" s="6" t="s">
        <v>26</v>
      </c>
      <c r="B164" s="6">
        <v>2030</v>
      </c>
      <c r="C164" s="6">
        <v>2034</v>
      </c>
      <c r="D164" s="6">
        <v>8.6518144600000007</v>
      </c>
      <c r="E164" s="6">
        <v>7.8454480200000001</v>
      </c>
      <c r="F164" s="6">
        <v>11.2928762</v>
      </c>
    </row>
    <row r="165" spans="1:6" x14ac:dyDescent="0.2">
      <c r="A165" s="6" t="s">
        <v>26</v>
      </c>
      <c r="B165" s="6">
        <v>2035</v>
      </c>
      <c r="C165" s="6">
        <v>2039</v>
      </c>
      <c r="D165" s="6">
        <v>8.4283599900000006</v>
      </c>
      <c r="E165" s="6">
        <v>7.6331334100000001</v>
      </c>
      <c r="F165" s="6">
        <v>11.006090199999999</v>
      </c>
    </row>
    <row r="166" spans="1:6" x14ac:dyDescent="0.2">
      <c r="A166" s="6" t="s">
        <v>26</v>
      </c>
      <c r="B166" s="6">
        <v>2040</v>
      </c>
      <c r="C166" s="6">
        <v>2044</v>
      </c>
      <c r="D166" s="6">
        <v>7.9226875300000001</v>
      </c>
      <c r="E166" s="6">
        <v>7.09120083</v>
      </c>
      <c r="F166" s="6">
        <v>10.4030094</v>
      </c>
    </row>
    <row r="167" spans="1:6" x14ac:dyDescent="0.2">
      <c r="A167" s="6" t="s">
        <v>26</v>
      </c>
      <c r="B167" s="6">
        <v>2045</v>
      </c>
      <c r="C167" s="6">
        <v>2049</v>
      </c>
      <c r="D167" s="6">
        <v>9.06253815</v>
      </c>
      <c r="E167" s="6">
        <v>8.2350263600000009</v>
      </c>
      <c r="F167" s="6">
        <v>11.636863699999999</v>
      </c>
    </row>
    <row r="168" spans="1:6" x14ac:dyDescent="0.2">
      <c r="A168" s="6" t="s">
        <v>26</v>
      </c>
      <c r="B168" s="6">
        <v>2050</v>
      </c>
      <c r="C168" s="6">
        <v>2054</v>
      </c>
      <c r="D168" s="6">
        <v>8.8525781600000002</v>
      </c>
      <c r="E168" s="6">
        <v>8.0242099800000002</v>
      </c>
      <c r="F168" s="6">
        <v>11.4942837</v>
      </c>
    </row>
    <row r="169" spans="1:6" x14ac:dyDescent="0.2">
      <c r="A169" s="6" t="s">
        <v>26</v>
      </c>
      <c r="B169" s="6">
        <v>2055</v>
      </c>
      <c r="C169" s="6">
        <v>2059</v>
      </c>
      <c r="D169" s="6">
        <v>9.2996501899999995</v>
      </c>
      <c r="E169" s="6">
        <v>8.4790878299999992</v>
      </c>
      <c r="F169" s="6">
        <v>11.8976507</v>
      </c>
    </row>
    <row r="170" spans="1:6" x14ac:dyDescent="0.2">
      <c r="A170" s="6" t="s">
        <v>26</v>
      </c>
      <c r="B170" s="6">
        <v>2060</v>
      </c>
      <c r="C170" s="6">
        <v>2064</v>
      </c>
      <c r="D170" s="6">
        <v>9.5456476200000004</v>
      </c>
      <c r="E170" s="6">
        <v>8.6591787300000007</v>
      </c>
      <c r="F170" s="6">
        <v>12.338334100000001</v>
      </c>
    </row>
    <row r="171" spans="1:6" x14ac:dyDescent="0.2">
      <c r="A171" s="6" t="s">
        <v>26</v>
      </c>
      <c r="B171" s="6">
        <v>2065</v>
      </c>
      <c r="C171" s="6">
        <v>2069</v>
      </c>
      <c r="D171" s="6">
        <v>9.7496538200000007</v>
      </c>
      <c r="E171" s="6">
        <v>8.8410911599999995</v>
      </c>
      <c r="F171" s="6">
        <v>12.5835285</v>
      </c>
    </row>
    <row r="172" spans="1:6" x14ac:dyDescent="0.2">
      <c r="A172" s="6" t="s">
        <v>26</v>
      </c>
      <c r="B172" s="6">
        <v>2070</v>
      </c>
      <c r="C172" s="6">
        <v>2074</v>
      </c>
      <c r="D172" s="6">
        <v>9.9860172299999999</v>
      </c>
      <c r="E172" s="6">
        <v>9.0483760800000006</v>
      </c>
      <c r="F172" s="6">
        <v>12.9466667</v>
      </c>
    </row>
    <row r="173" spans="1:6" x14ac:dyDescent="0.2">
      <c r="A173" s="6" t="s">
        <v>26</v>
      </c>
      <c r="B173" s="6">
        <v>2075</v>
      </c>
      <c r="C173" s="6">
        <v>2079</v>
      </c>
      <c r="D173" s="6">
        <v>10.160937300000001</v>
      </c>
      <c r="E173" s="6">
        <v>9.2403268799999996</v>
      </c>
      <c r="F173" s="6">
        <v>13.028740900000001</v>
      </c>
    </row>
    <row r="174" spans="1:6" x14ac:dyDescent="0.2">
      <c r="A174" s="6" t="s">
        <v>26</v>
      </c>
      <c r="B174" s="6">
        <v>2080</v>
      </c>
      <c r="C174" s="6">
        <v>2084</v>
      </c>
      <c r="D174" s="6">
        <v>10.503682100000001</v>
      </c>
      <c r="E174" s="6">
        <v>9.5850229299999992</v>
      </c>
      <c r="F174" s="6">
        <v>13.365062699999999</v>
      </c>
    </row>
    <row r="175" spans="1:6" x14ac:dyDescent="0.2">
      <c r="A175" s="6" t="s">
        <v>26</v>
      </c>
      <c r="B175" s="6">
        <v>2085</v>
      </c>
      <c r="C175" s="6">
        <v>2089</v>
      </c>
      <c r="D175" s="6">
        <v>10.619991300000001</v>
      </c>
      <c r="E175" s="6">
        <v>9.7231483500000007</v>
      </c>
      <c r="F175" s="6">
        <v>13.2845736</v>
      </c>
    </row>
    <row r="176" spans="1:6" x14ac:dyDescent="0.2">
      <c r="A176" s="6" t="s">
        <v>26</v>
      </c>
      <c r="B176" s="6">
        <v>2090</v>
      </c>
      <c r="C176" s="6">
        <v>2094</v>
      </c>
      <c r="D176" s="6">
        <v>10.9652691</v>
      </c>
      <c r="E176" s="6">
        <v>10.120784799999999</v>
      </c>
      <c r="F176" s="6">
        <v>13.6152344</v>
      </c>
    </row>
    <row r="177" spans="1:6" x14ac:dyDescent="0.2">
      <c r="A177" s="6" t="s">
        <v>26</v>
      </c>
      <c r="B177" s="6">
        <v>2095</v>
      </c>
      <c r="C177" s="6">
        <v>2099</v>
      </c>
      <c r="D177" s="6">
        <v>11.5567999</v>
      </c>
      <c r="E177" s="6">
        <v>10.5890398</v>
      </c>
      <c r="F177" s="6">
        <v>14.574519199999999</v>
      </c>
    </row>
    <row r="178" spans="1:6" x14ac:dyDescent="0.2">
      <c r="A178" s="6" t="s">
        <v>14</v>
      </c>
      <c r="B178" s="6">
        <v>1990</v>
      </c>
      <c r="C178" s="6">
        <v>1994</v>
      </c>
      <c r="D178" s="6">
        <v>11.783232699999999</v>
      </c>
      <c r="E178" s="6">
        <v>10.0014658</v>
      </c>
      <c r="F178" s="6">
        <v>16.289546999999999</v>
      </c>
    </row>
    <row r="179" spans="1:6" x14ac:dyDescent="0.2">
      <c r="A179" s="6" t="s">
        <v>14</v>
      </c>
      <c r="B179" s="6">
        <v>1995</v>
      </c>
      <c r="C179" s="6">
        <v>1999</v>
      </c>
      <c r="D179" s="6">
        <v>12.095138499999999</v>
      </c>
      <c r="E179" s="6">
        <v>10.1492252</v>
      </c>
      <c r="F179" s="6">
        <v>16.942606000000001</v>
      </c>
    </row>
    <row r="180" spans="1:6" x14ac:dyDescent="0.2">
      <c r="A180" s="6" t="s">
        <v>14</v>
      </c>
      <c r="B180" s="6">
        <v>2000</v>
      </c>
      <c r="C180" s="6">
        <v>2004</v>
      </c>
      <c r="D180" s="6">
        <v>13.0145845</v>
      </c>
      <c r="E180" s="6">
        <v>11.061916399999999</v>
      </c>
      <c r="F180" s="6">
        <v>17.9398403</v>
      </c>
    </row>
    <row r="181" spans="1:6" x14ac:dyDescent="0.2">
      <c r="A181" s="6" t="s">
        <v>14</v>
      </c>
      <c r="B181" s="6">
        <v>2005</v>
      </c>
      <c r="C181" s="6">
        <v>2009</v>
      </c>
      <c r="D181" s="6">
        <v>11.913509400000001</v>
      </c>
      <c r="E181" s="6">
        <v>9.9826488500000004</v>
      </c>
      <c r="F181" s="6">
        <v>16.767868</v>
      </c>
    </row>
    <row r="182" spans="1:6" x14ac:dyDescent="0.2">
      <c r="A182" s="6" t="s">
        <v>14</v>
      </c>
      <c r="B182" s="6">
        <v>2010</v>
      </c>
      <c r="C182" s="6">
        <v>2014</v>
      </c>
      <c r="D182" s="6">
        <v>12.3740454</v>
      </c>
      <c r="E182" s="6">
        <v>10.5621452</v>
      </c>
      <c r="F182" s="6">
        <v>17.021896399999999</v>
      </c>
    </row>
    <row r="183" spans="1:6" x14ac:dyDescent="0.2">
      <c r="A183" s="6" t="s">
        <v>14</v>
      </c>
      <c r="B183" s="6">
        <v>2015</v>
      </c>
      <c r="C183" s="6">
        <v>2019</v>
      </c>
      <c r="D183" s="6">
        <v>12.7925615</v>
      </c>
      <c r="E183" s="6">
        <v>10.951768899999999</v>
      </c>
      <c r="F183" s="6">
        <v>17.4569893</v>
      </c>
    </row>
    <row r="184" spans="1:6" x14ac:dyDescent="0.2">
      <c r="A184" s="6" t="s">
        <v>14</v>
      </c>
      <c r="B184" s="6">
        <v>2020</v>
      </c>
      <c r="C184" s="6">
        <v>2024</v>
      </c>
      <c r="D184" s="6">
        <v>12.3910351</v>
      </c>
      <c r="E184" s="6">
        <v>10.4901857</v>
      </c>
      <c r="F184" s="6">
        <v>17.232574499999998</v>
      </c>
    </row>
    <row r="185" spans="1:6" x14ac:dyDescent="0.2">
      <c r="A185" s="6" t="s">
        <v>14</v>
      </c>
      <c r="B185" s="6">
        <v>2025</v>
      </c>
      <c r="C185" s="6">
        <v>2029</v>
      </c>
      <c r="D185" s="6">
        <v>13.4186087</v>
      </c>
      <c r="E185" s="6">
        <v>11.526669500000001</v>
      </c>
      <c r="F185" s="6">
        <v>18.1782188</v>
      </c>
    </row>
    <row r="186" spans="1:6" x14ac:dyDescent="0.2">
      <c r="A186" s="6" t="s">
        <v>14</v>
      </c>
      <c r="B186" s="6">
        <v>2030</v>
      </c>
      <c r="C186" s="6">
        <v>2034</v>
      </c>
      <c r="D186" s="6">
        <v>13.257995599999999</v>
      </c>
      <c r="E186" s="6">
        <v>11.3168077</v>
      </c>
      <c r="F186" s="6">
        <v>18.137523699999999</v>
      </c>
    </row>
    <row r="187" spans="1:6" x14ac:dyDescent="0.2">
      <c r="A187" s="6" t="s">
        <v>14</v>
      </c>
      <c r="B187" s="6">
        <v>2035</v>
      </c>
      <c r="C187" s="6">
        <v>2039</v>
      </c>
      <c r="D187" s="6">
        <v>12.6727562</v>
      </c>
      <c r="E187" s="6">
        <v>10.7016525</v>
      </c>
      <c r="F187" s="6">
        <v>17.601219199999999</v>
      </c>
    </row>
    <row r="188" spans="1:6" x14ac:dyDescent="0.2">
      <c r="A188" s="6" t="s">
        <v>14</v>
      </c>
      <c r="B188" s="6">
        <v>2040</v>
      </c>
      <c r="C188" s="6">
        <v>2044</v>
      </c>
      <c r="D188" s="6">
        <v>13.601581599999999</v>
      </c>
      <c r="E188" s="6">
        <v>11.4930162</v>
      </c>
      <c r="F188" s="6">
        <v>18.921939800000001</v>
      </c>
    </row>
    <row r="189" spans="1:6" x14ac:dyDescent="0.2">
      <c r="A189" s="6" t="s">
        <v>14</v>
      </c>
      <c r="B189" s="6">
        <v>2045</v>
      </c>
      <c r="C189" s="6">
        <v>2049</v>
      </c>
      <c r="D189" s="6">
        <v>13.294219</v>
      </c>
      <c r="E189" s="6">
        <v>11.2114487</v>
      </c>
      <c r="F189" s="6">
        <v>18.6025314</v>
      </c>
    </row>
    <row r="190" spans="1:6" x14ac:dyDescent="0.2">
      <c r="A190" s="6" t="s">
        <v>14</v>
      </c>
      <c r="B190" s="6">
        <v>2050</v>
      </c>
      <c r="C190" s="6">
        <v>2054</v>
      </c>
      <c r="D190" s="6">
        <v>14.3339491</v>
      </c>
      <c r="E190" s="6">
        <v>12.29566</v>
      </c>
      <c r="F190" s="6">
        <v>19.510746000000001</v>
      </c>
    </row>
    <row r="191" spans="1:6" x14ac:dyDescent="0.2">
      <c r="A191" s="6" t="s">
        <v>14</v>
      </c>
      <c r="B191" s="6">
        <v>2055</v>
      </c>
      <c r="C191" s="6">
        <v>2059</v>
      </c>
      <c r="D191" s="6">
        <v>14.1626596</v>
      </c>
      <c r="E191" s="6">
        <v>12.0115128</v>
      </c>
      <c r="F191" s="6">
        <v>19.603117000000001</v>
      </c>
    </row>
    <row r="192" spans="1:6" x14ac:dyDescent="0.2">
      <c r="A192" s="6" t="s">
        <v>14</v>
      </c>
      <c r="B192" s="6">
        <v>2060</v>
      </c>
      <c r="C192" s="6">
        <v>2064</v>
      </c>
      <c r="D192" s="6">
        <v>15.000985099999999</v>
      </c>
      <c r="E192" s="6">
        <v>12.872498500000001</v>
      </c>
      <c r="F192" s="6">
        <v>20.379058799999999</v>
      </c>
    </row>
    <row r="193" spans="1:6" x14ac:dyDescent="0.2">
      <c r="A193" s="6" t="s">
        <v>14</v>
      </c>
      <c r="B193" s="6">
        <v>2065</v>
      </c>
      <c r="C193" s="6">
        <v>2069</v>
      </c>
      <c r="D193" s="6">
        <v>14.551005399999999</v>
      </c>
      <c r="E193" s="6">
        <v>12.2574615</v>
      </c>
      <c r="F193" s="6">
        <v>20.277011900000002</v>
      </c>
    </row>
    <row r="194" spans="1:6" x14ac:dyDescent="0.2">
      <c r="A194" s="6" t="s">
        <v>14</v>
      </c>
      <c r="B194" s="6">
        <v>2070</v>
      </c>
      <c r="C194" s="6">
        <v>2074</v>
      </c>
      <c r="D194" s="6">
        <v>15.4584036</v>
      </c>
      <c r="E194" s="6">
        <v>13.2831993</v>
      </c>
      <c r="F194" s="6">
        <v>21.024631500000002</v>
      </c>
    </row>
    <row r="195" spans="1:6" x14ac:dyDescent="0.2">
      <c r="A195" s="6" t="s">
        <v>14</v>
      </c>
      <c r="B195" s="6">
        <v>2075</v>
      </c>
      <c r="C195" s="6">
        <v>2079</v>
      </c>
      <c r="D195" s="6">
        <v>15.5899277</v>
      </c>
      <c r="E195" s="6">
        <v>13.3210297</v>
      </c>
      <c r="F195" s="6">
        <v>21.2821751</v>
      </c>
    </row>
    <row r="196" spans="1:6" x14ac:dyDescent="0.2">
      <c r="A196" s="6" t="s">
        <v>14</v>
      </c>
      <c r="B196" s="6">
        <v>2080</v>
      </c>
      <c r="C196" s="6">
        <v>2084</v>
      </c>
      <c r="D196" s="6">
        <v>15.8098879</v>
      </c>
      <c r="E196" s="6">
        <v>13.478103600000001</v>
      </c>
      <c r="F196" s="6">
        <v>21.681625400000001</v>
      </c>
    </row>
    <row r="197" spans="1:6" x14ac:dyDescent="0.2">
      <c r="A197" s="6" t="s">
        <v>14</v>
      </c>
      <c r="B197" s="6">
        <v>2085</v>
      </c>
      <c r="C197" s="6">
        <v>2089</v>
      </c>
      <c r="D197" s="6">
        <v>16.182281499999998</v>
      </c>
      <c r="E197" s="6">
        <v>13.790206899999999</v>
      </c>
      <c r="F197" s="6">
        <v>22.1778908</v>
      </c>
    </row>
    <row r="198" spans="1:6" x14ac:dyDescent="0.2">
      <c r="A198" s="6" t="s">
        <v>14</v>
      </c>
      <c r="B198" s="6">
        <v>2090</v>
      </c>
      <c r="C198" s="6">
        <v>2094</v>
      </c>
      <c r="D198" s="6">
        <v>16.585319500000001</v>
      </c>
      <c r="E198" s="6">
        <v>14.156969999999999</v>
      </c>
      <c r="F198" s="6">
        <v>22.723607999999999</v>
      </c>
    </row>
    <row r="199" spans="1:6" x14ac:dyDescent="0.2">
      <c r="A199" s="6" t="s">
        <v>14</v>
      </c>
      <c r="B199" s="6">
        <v>2095</v>
      </c>
      <c r="C199" s="6">
        <v>2099</v>
      </c>
      <c r="D199" s="6">
        <v>15.9219294</v>
      </c>
      <c r="E199" s="6">
        <v>13.5666952</v>
      </c>
      <c r="F199" s="6">
        <v>21.810977900000001</v>
      </c>
    </row>
    <row r="200" spans="1:6" x14ac:dyDescent="0.2">
      <c r="A200" s="6" t="s">
        <v>15</v>
      </c>
      <c r="B200" s="6">
        <v>1990</v>
      </c>
      <c r="C200" s="6">
        <v>1994</v>
      </c>
      <c r="D200" s="6">
        <v>10.2710838</v>
      </c>
      <c r="E200" s="6">
        <v>8.6381797799999998</v>
      </c>
      <c r="F200" s="6">
        <v>14.245037999999999</v>
      </c>
    </row>
    <row r="201" spans="1:6" x14ac:dyDescent="0.2">
      <c r="A201" s="6" t="s">
        <v>15</v>
      </c>
      <c r="B201" s="6">
        <v>1995</v>
      </c>
      <c r="C201" s="6">
        <v>1999</v>
      </c>
      <c r="D201" s="6">
        <v>11.275095</v>
      </c>
      <c r="E201" s="6">
        <v>9.6032953299999999</v>
      </c>
      <c r="F201" s="6">
        <v>15.452939000000001</v>
      </c>
    </row>
    <row r="202" spans="1:6" x14ac:dyDescent="0.2">
      <c r="A202" s="6" t="s">
        <v>15</v>
      </c>
      <c r="B202" s="6">
        <v>2000</v>
      </c>
      <c r="C202" s="6">
        <v>2004</v>
      </c>
      <c r="D202" s="6">
        <v>10.685437200000001</v>
      </c>
      <c r="E202" s="6">
        <v>9.1129808400000005</v>
      </c>
      <c r="F202" s="6">
        <v>14.599854499999999</v>
      </c>
    </row>
    <row r="203" spans="1:6" x14ac:dyDescent="0.2">
      <c r="A203" s="6" t="s">
        <v>15</v>
      </c>
      <c r="B203" s="6">
        <v>2005</v>
      </c>
      <c r="C203" s="6">
        <v>2009</v>
      </c>
      <c r="D203" s="6">
        <v>10.9803677</v>
      </c>
      <c r="E203" s="6">
        <v>9.2318000799999993</v>
      </c>
      <c r="F203" s="6">
        <v>15.3231115</v>
      </c>
    </row>
    <row r="204" spans="1:6" x14ac:dyDescent="0.2">
      <c r="A204" s="6" t="s">
        <v>15</v>
      </c>
      <c r="B204" s="6">
        <v>2010</v>
      </c>
      <c r="C204" s="6">
        <v>2014</v>
      </c>
      <c r="D204" s="6">
        <v>11.1403418</v>
      </c>
      <c r="E204" s="6">
        <v>9.4790887799999997</v>
      </c>
      <c r="F204" s="6">
        <v>15.2889252</v>
      </c>
    </row>
    <row r="205" spans="1:6" x14ac:dyDescent="0.2">
      <c r="A205" s="6" t="s">
        <v>15</v>
      </c>
      <c r="B205" s="6">
        <v>2015</v>
      </c>
      <c r="C205" s="6">
        <v>2019</v>
      </c>
      <c r="D205" s="6">
        <v>11.498136499999999</v>
      </c>
      <c r="E205" s="6">
        <v>9.8013725300000001</v>
      </c>
      <c r="F205" s="6">
        <v>15.781601</v>
      </c>
    </row>
    <row r="206" spans="1:6" x14ac:dyDescent="0.2">
      <c r="A206" s="6" t="s">
        <v>15</v>
      </c>
      <c r="B206" s="6">
        <v>2020</v>
      </c>
      <c r="C206" s="6">
        <v>2024</v>
      </c>
      <c r="D206" s="6">
        <v>11.3233128</v>
      </c>
      <c r="E206" s="6">
        <v>9.5208168000000004</v>
      </c>
      <c r="F206" s="6">
        <v>15.831065199999999</v>
      </c>
    </row>
    <row r="207" spans="1:6" x14ac:dyDescent="0.2">
      <c r="A207" s="6" t="s">
        <v>15</v>
      </c>
      <c r="B207" s="6">
        <v>2025</v>
      </c>
      <c r="C207" s="6">
        <v>2029</v>
      </c>
      <c r="D207" s="6">
        <v>12.046517400000001</v>
      </c>
      <c r="E207" s="6">
        <v>10.353676800000001</v>
      </c>
      <c r="F207" s="6">
        <v>16.321687699999998</v>
      </c>
    </row>
    <row r="208" spans="1:6" x14ac:dyDescent="0.2">
      <c r="A208" s="6" t="s">
        <v>15</v>
      </c>
      <c r="B208" s="6">
        <v>2030</v>
      </c>
      <c r="C208" s="6">
        <v>2034</v>
      </c>
      <c r="D208" s="6">
        <v>12.5734596</v>
      </c>
      <c r="E208" s="6">
        <v>10.793970099999999</v>
      </c>
      <c r="F208" s="6">
        <v>17.012117400000001</v>
      </c>
    </row>
    <row r="209" spans="1:6" x14ac:dyDescent="0.2">
      <c r="A209" s="6" t="s">
        <v>15</v>
      </c>
      <c r="B209" s="6">
        <v>2035</v>
      </c>
      <c r="C209" s="6">
        <v>2039</v>
      </c>
      <c r="D209" s="6">
        <v>12.7247982</v>
      </c>
      <c r="E209" s="6">
        <v>10.8757448</v>
      </c>
      <c r="F209" s="6">
        <v>17.388345699999999</v>
      </c>
    </row>
    <row r="210" spans="1:6" x14ac:dyDescent="0.2">
      <c r="A210" s="6" t="s">
        <v>15</v>
      </c>
      <c r="B210" s="6">
        <v>2040</v>
      </c>
      <c r="C210" s="6">
        <v>2044</v>
      </c>
      <c r="D210" s="6">
        <v>12.777263599999999</v>
      </c>
      <c r="E210" s="6">
        <v>10.7976437</v>
      </c>
      <c r="F210" s="6">
        <v>17.703302399999998</v>
      </c>
    </row>
    <row r="211" spans="1:6" x14ac:dyDescent="0.2">
      <c r="A211" s="6" t="s">
        <v>15</v>
      </c>
      <c r="B211" s="6">
        <v>2045</v>
      </c>
      <c r="C211" s="6">
        <v>2049</v>
      </c>
      <c r="D211" s="6">
        <v>12.5927668</v>
      </c>
      <c r="E211" s="6">
        <v>10.617882699999999</v>
      </c>
      <c r="F211" s="6">
        <v>17.489528700000001</v>
      </c>
    </row>
    <row r="212" spans="1:6" x14ac:dyDescent="0.2">
      <c r="A212" s="6" t="s">
        <v>15</v>
      </c>
      <c r="B212" s="6">
        <v>2050</v>
      </c>
      <c r="C212" s="6">
        <v>2054</v>
      </c>
      <c r="D212" s="6">
        <v>12.355331400000001</v>
      </c>
      <c r="E212" s="6">
        <v>10.4883766</v>
      </c>
      <c r="F212" s="6">
        <v>16.974506399999999</v>
      </c>
    </row>
    <row r="213" spans="1:6" x14ac:dyDescent="0.2">
      <c r="A213" s="6" t="s">
        <v>15</v>
      </c>
      <c r="B213" s="6">
        <v>2055</v>
      </c>
      <c r="C213" s="6">
        <v>2059</v>
      </c>
      <c r="D213" s="6">
        <v>13.1578751</v>
      </c>
      <c r="E213" s="6">
        <v>11.123557999999999</v>
      </c>
      <c r="F213" s="6">
        <v>18.163656199999998</v>
      </c>
    </row>
    <row r="214" spans="1:6" x14ac:dyDescent="0.2">
      <c r="A214" s="6" t="s">
        <v>15</v>
      </c>
      <c r="B214" s="6">
        <v>2060</v>
      </c>
      <c r="C214" s="6">
        <v>2064</v>
      </c>
      <c r="D214" s="6">
        <v>13.904964400000001</v>
      </c>
      <c r="E214" s="6">
        <v>11.912744500000001</v>
      </c>
      <c r="F214" s="6">
        <v>18.851182900000001</v>
      </c>
    </row>
    <row r="215" spans="1:6" x14ac:dyDescent="0.2">
      <c r="A215" s="6" t="s">
        <v>15</v>
      </c>
      <c r="B215" s="6">
        <v>2065</v>
      </c>
      <c r="C215" s="6">
        <v>2069</v>
      </c>
      <c r="D215" s="6">
        <v>13.915473</v>
      </c>
      <c r="E215" s="6">
        <v>11.951355899999999</v>
      </c>
      <c r="F215" s="6">
        <v>18.833867999999999</v>
      </c>
    </row>
    <row r="216" spans="1:6" x14ac:dyDescent="0.2">
      <c r="A216" s="6" t="s">
        <v>15</v>
      </c>
      <c r="B216" s="6">
        <v>2070</v>
      </c>
      <c r="C216" s="6">
        <v>2074</v>
      </c>
      <c r="D216" s="6">
        <v>13.4870701</v>
      </c>
      <c r="E216" s="6">
        <v>11.4500618</v>
      </c>
      <c r="F216" s="6">
        <v>18.481296499999999</v>
      </c>
    </row>
    <row r="217" spans="1:6" x14ac:dyDescent="0.2">
      <c r="A217" s="6" t="s">
        <v>15</v>
      </c>
      <c r="B217" s="6">
        <v>2075</v>
      </c>
      <c r="C217" s="6">
        <v>2079</v>
      </c>
      <c r="D217" s="6">
        <v>14.569433200000001</v>
      </c>
      <c r="E217" s="6">
        <v>12.4259348</v>
      </c>
      <c r="F217" s="6">
        <v>19.966985699999999</v>
      </c>
    </row>
    <row r="218" spans="1:6" x14ac:dyDescent="0.2">
      <c r="A218" s="6" t="s">
        <v>15</v>
      </c>
      <c r="B218" s="6">
        <v>2080</v>
      </c>
      <c r="C218" s="6">
        <v>2084</v>
      </c>
      <c r="D218" s="6">
        <v>13.6572943</v>
      </c>
      <c r="E218" s="6">
        <v>11.6060953</v>
      </c>
      <c r="F218" s="6">
        <v>18.778913500000002</v>
      </c>
    </row>
    <row r="219" spans="1:6" x14ac:dyDescent="0.2">
      <c r="A219" s="6" t="s">
        <v>15</v>
      </c>
      <c r="B219" s="6">
        <v>2085</v>
      </c>
      <c r="C219" s="6">
        <v>2089</v>
      </c>
      <c r="D219" s="6">
        <v>13.892492300000001</v>
      </c>
      <c r="E219" s="6">
        <v>11.70051</v>
      </c>
      <c r="F219" s="6">
        <v>19.272920599999999</v>
      </c>
    </row>
    <row r="220" spans="1:6" x14ac:dyDescent="0.2">
      <c r="A220" s="6" t="s">
        <v>15</v>
      </c>
      <c r="B220" s="6">
        <v>2090</v>
      </c>
      <c r="C220" s="6">
        <v>2094</v>
      </c>
      <c r="D220" s="6">
        <v>14.0385876</v>
      </c>
      <c r="E220" s="6">
        <v>12.025340099999999</v>
      </c>
      <c r="F220" s="6">
        <v>19.013650899999998</v>
      </c>
    </row>
    <row r="221" spans="1:6" x14ac:dyDescent="0.2">
      <c r="A221" s="6" t="s">
        <v>15</v>
      </c>
      <c r="B221" s="6">
        <v>2095</v>
      </c>
      <c r="C221" s="6">
        <v>2099</v>
      </c>
      <c r="D221" s="6">
        <v>15.148515700000001</v>
      </c>
      <c r="E221" s="6">
        <v>13.013203600000001</v>
      </c>
      <c r="F221" s="6">
        <v>20.591276199999999</v>
      </c>
    </row>
    <row r="222" spans="1:6" x14ac:dyDescent="0.2">
      <c r="A222" s="6" t="s">
        <v>16</v>
      </c>
      <c r="B222" s="6">
        <v>1990</v>
      </c>
      <c r="C222" s="6">
        <v>1994</v>
      </c>
      <c r="D222" s="6">
        <v>6.6990671199999996</v>
      </c>
      <c r="E222" s="6">
        <v>5.8326349300000002</v>
      </c>
      <c r="F222" s="6">
        <v>9.3639974600000002</v>
      </c>
    </row>
    <row r="223" spans="1:6" x14ac:dyDescent="0.2">
      <c r="A223" s="6" t="s">
        <v>16</v>
      </c>
      <c r="B223" s="6">
        <v>1995</v>
      </c>
      <c r="C223" s="6">
        <v>1999</v>
      </c>
      <c r="D223" s="6">
        <v>6.6209030200000001</v>
      </c>
      <c r="E223" s="6">
        <v>5.6929964999999996</v>
      </c>
      <c r="F223" s="6">
        <v>9.5370302200000001</v>
      </c>
    </row>
    <row r="224" spans="1:6" x14ac:dyDescent="0.2">
      <c r="A224" s="6" t="s">
        <v>16</v>
      </c>
      <c r="B224" s="6">
        <v>2000</v>
      </c>
      <c r="C224" s="6">
        <v>2004</v>
      </c>
      <c r="D224" s="6">
        <v>6.6080551099999996</v>
      </c>
      <c r="E224" s="6">
        <v>5.6333718299999997</v>
      </c>
      <c r="F224" s="6">
        <v>9.5709285699999995</v>
      </c>
    </row>
    <row r="225" spans="1:6" x14ac:dyDescent="0.2">
      <c r="A225" s="6" t="s">
        <v>16</v>
      </c>
      <c r="B225" s="6">
        <v>2005</v>
      </c>
      <c r="C225" s="6">
        <v>2009</v>
      </c>
      <c r="D225" s="6">
        <v>6.69374132</v>
      </c>
      <c r="E225" s="6">
        <v>5.7367672900000004</v>
      </c>
      <c r="F225" s="6">
        <v>9.6691865900000007</v>
      </c>
    </row>
    <row r="226" spans="1:6" x14ac:dyDescent="0.2">
      <c r="A226" s="6" t="s">
        <v>16</v>
      </c>
      <c r="B226" s="6">
        <v>2010</v>
      </c>
      <c r="C226" s="6">
        <v>2014</v>
      </c>
      <c r="D226" s="6">
        <v>6.98758268</v>
      </c>
      <c r="E226" s="6">
        <v>6.06861973</v>
      </c>
      <c r="F226" s="6">
        <v>9.9028711299999994</v>
      </c>
    </row>
    <row r="227" spans="1:6" x14ac:dyDescent="0.2">
      <c r="A227" s="6" t="s">
        <v>16</v>
      </c>
      <c r="B227" s="6">
        <v>2015</v>
      </c>
      <c r="C227" s="6">
        <v>2019</v>
      </c>
      <c r="D227" s="6">
        <v>6.9879703500000003</v>
      </c>
      <c r="E227" s="6">
        <v>6.0233802799999996</v>
      </c>
      <c r="F227" s="6">
        <v>9.9841013000000007</v>
      </c>
    </row>
    <row r="228" spans="1:6" x14ac:dyDescent="0.2">
      <c r="A228" s="6" t="s">
        <v>16</v>
      </c>
      <c r="B228" s="6">
        <v>2020</v>
      </c>
      <c r="C228" s="6">
        <v>2024</v>
      </c>
      <c r="D228" s="6">
        <v>7.0370407100000003</v>
      </c>
      <c r="E228" s="6">
        <v>6.0652565999999997</v>
      </c>
      <c r="F228" s="6">
        <v>10.05369</v>
      </c>
    </row>
    <row r="229" spans="1:6" x14ac:dyDescent="0.2">
      <c r="A229" s="6" t="s">
        <v>16</v>
      </c>
      <c r="B229" s="6">
        <v>2025</v>
      </c>
      <c r="C229" s="6">
        <v>2029</v>
      </c>
      <c r="D229" s="6">
        <v>6.90621376</v>
      </c>
      <c r="E229" s="6">
        <v>5.9451990099999996</v>
      </c>
      <c r="F229" s="6">
        <v>9.8492183699999991</v>
      </c>
    </row>
    <row r="230" spans="1:6" x14ac:dyDescent="0.2">
      <c r="A230" s="6" t="s">
        <v>16</v>
      </c>
      <c r="B230" s="6">
        <v>2030</v>
      </c>
      <c r="C230" s="6">
        <v>2034</v>
      </c>
      <c r="D230" s="6">
        <v>7.2893123600000003</v>
      </c>
      <c r="E230" s="6">
        <v>6.2859840399999998</v>
      </c>
      <c r="F230" s="6">
        <v>10.526419600000001</v>
      </c>
    </row>
    <row r="231" spans="1:6" x14ac:dyDescent="0.2">
      <c r="A231" s="6" t="s">
        <v>16</v>
      </c>
      <c r="B231" s="6">
        <v>2035</v>
      </c>
      <c r="C231" s="6">
        <v>2039</v>
      </c>
      <c r="D231" s="6">
        <v>7.2637696299999996</v>
      </c>
      <c r="E231" s="6">
        <v>6.2743763899999996</v>
      </c>
      <c r="F231" s="6">
        <v>10.3984957</v>
      </c>
    </row>
    <row r="232" spans="1:6" x14ac:dyDescent="0.2">
      <c r="A232" s="6" t="s">
        <v>16</v>
      </c>
      <c r="B232" s="6">
        <v>2040</v>
      </c>
      <c r="C232" s="6">
        <v>2044</v>
      </c>
      <c r="D232" s="6">
        <v>7.5562233900000004</v>
      </c>
      <c r="E232" s="6">
        <v>6.5456037499999997</v>
      </c>
      <c r="F232" s="6">
        <v>10.8233938</v>
      </c>
    </row>
    <row r="233" spans="1:6" x14ac:dyDescent="0.2">
      <c r="A233" s="6" t="s">
        <v>16</v>
      </c>
      <c r="B233" s="6">
        <v>2045</v>
      </c>
      <c r="C233" s="6">
        <v>2049</v>
      </c>
      <c r="D233" s="6">
        <v>7.94318247</v>
      </c>
      <c r="E233" s="6">
        <v>6.9718933099999996</v>
      </c>
      <c r="F233" s="6">
        <v>11.1482153</v>
      </c>
    </row>
    <row r="234" spans="1:6" x14ac:dyDescent="0.2">
      <c r="A234" s="6" t="s">
        <v>16</v>
      </c>
      <c r="B234" s="6">
        <v>2050</v>
      </c>
      <c r="C234" s="6">
        <v>2054</v>
      </c>
      <c r="D234" s="6">
        <v>8.3204650900000008</v>
      </c>
      <c r="E234" s="6">
        <v>7.2391581499999997</v>
      </c>
      <c r="F234" s="6">
        <v>11.8232965</v>
      </c>
    </row>
    <row r="235" spans="1:6" x14ac:dyDescent="0.2">
      <c r="A235" s="6" t="s">
        <v>16</v>
      </c>
      <c r="B235" s="6">
        <v>2055</v>
      </c>
      <c r="C235" s="6">
        <v>2059</v>
      </c>
      <c r="D235" s="6">
        <v>8.13534164</v>
      </c>
      <c r="E235" s="6">
        <v>7.0721573800000002</v>
      </c>
      <c r="F235" s="6">
        <v>11.533629400000001</v>
      </c>
    </row>
    <row r="236" spans="1:6" x14ac:dyDescent="0.2">
      <c r="A236" s="6" t="s">
        <v>16</v>
      </c>
      <c r="B236" s="6">
        <v>2060</v>
      </c>
      <c r="C236" s="6">
        <v>2064</v>
      </c>
      <c r="D236" s="6">
        <v>9.1537447000000007</v>
      </c>
      <c r="E236" s="6">
        <v>8.0961646999999992</v>
      </c>
      <c r="F236" s="6">
        <v>12.7517605</v>
      </c>
    </row>
    <row r="237" spans="1:6" x14ac:dyDescent="0.2">
      <c r="A237" s="6" t="s">
        <v>16</v>
      </c>
      <c r="B237" s="6">
        <v>2065</v>
      </c>
      <c r="C237" s="6">
        <v>2069</v>
      </c>
      <c r="D237" s="6">
        <v>8.3356790499999995</v>
      </c>
      <c r="E237" s="6">
        <v>7.3492217100000001</v>
      </c>
      <c r="F237" s="6">
        <v>11.594224000000001</v>
      </c>
    </row>
    <row r="238" spans="1:6" x14ac:dyDescent="0.2">
      <c r="A238" s="6" t="s">
        <v>16</v>
      </c>
      <c r="B238" s="6">
        <v>2070</v>
      </c>
      <c r="C238" s="6">
        <v>2074</v>
      </c>
      <c r="D238" s="6">
        <v>9.6081418999999997</v>
      </c>
      <c r="E238" s="6">
        <v>8.5358581499999993</v>
      </c>
      <c r="F238" s="6">
        <v>13.2377977</v>
      </c>
    </row>
    <row r="239" spans="1:6" x14ac:dyDescent="0.2">
      <c r="A239" s="6" t="s">
        <v>16</v>
      </c>
      <c r="B239" s="6">
        <v>2075</v>
      </c>
      <c r="C239" s="6">
        <v>2079</v>
      </c>
      <c r="D239" s="6">
        <v>9.7829208399999992</v>
      </c>
      <c r="E239" s="6">
        <v>8.6821279499999999</v>
      </c>
      <c r="F239" s="6">
        <v>13.5786438</v>
      </c>
    </row>
    <row r="240" spans="1:6" x14ac:dyDescent="0.2">
      <c r="A240" s="6" t="s">
        <v>16</v>
      </c>
      <c r="B240" s="6">
        <v>2080</v>
      </c>
      <c r="C240" s="6">
        <v>2084</v>
      </c>
      <c r="D240" s="6">
        <v>9.9743595099999993</v>
      </c>
      <c r="E240" s="6">
        <v>8.8645019499999993</v>
      </c>
      <c r="F240" s="6">
        <v>13.7483225</v>
      </c>
    </row>
    <row r="241" spans="1:6" x14ac:dyDescent="0.2">
      <c r="A241" s="6" t="s">
        <v>16</v>
      </c>
      <c r="B241" s="6">
        <v>2085</v>
      </c>
      <c r="C241" s="6">
        <v>2089</v>
      </c>
      <c r="D241" s="6">
        <v>9.5452232400000003</v>
      </c>
      <c r="E241" s="6">
        <v>8.4529314000000007</v>
      </c>
      <c r="F241" s="6">
        <v>13.2128716</v>
      </c>
    </row>
    <row r="242" spans="1:6" x14ac:dyDescent="0.2">
      <c r="A242" s="6" t="s">
        <v>16</v>
      </c>
      <c r="B242" s="6">
        <v>2090</v>
      </c>
      <c r="C242" s="6">
        <v>2094</v>
      </c>
      <c r="D242" s="6">
        <v>11.103266700000001</v>
      </c>
      <c r="E242" s="6">
        <v>9.9072246600000007</v>
      </c>
      <c r="F242" s="6">
        <v>15.203554199999999</v>
      </c>
    </row>
    <row r="243" spans="1:6" x14ac:dyDescent="0.2">
      <c r="A243" s="6" t="s">
        <v>16</v>
      </c>
      <c r="B243" s="6">
        <v>2095</v>
      </c>
      <c r="C243" s="6">
        <v>2099</v>
      </c>
      <c r="D243" s="6">
        <v>10.753829</v>
      </c>
      <c r="E243" s="6">
        <v>9.6059808699999998</v>
      </c>
      <c r="F243" s="6">
        <v>14.6529484</v>
      </c>
    </row>
    <row r="244" spans="1:6" x14ac:dyDescent="0.2">
      <c r="A244" s="6" t="s">
        <v>17</v>
      </c>
      <c r="B244" s="6">
        <v>1990</v>
      </c>
      <c r="C244" s="6">
        <v>1994</v>
      </c>
      <c r="D244" s="6">
        <v>12.8076525</v>
      </c>
      <c r="E244" s="6">
        <v>9.5839996299999992</v>
      </c>
      <c r="F244" s="6">
        <v>19.203651399999998</v>
      </c>
    </row>
    <row r="245" spans="1:6" x14ac:dyDescent="0.2">
      <c r="A245" s="6" t="s">
        <v>17</v>
      </c>
      <c r="B245" s="6">
        <v>1995</v>
      </c>
      <c r="C245" s="6">
        <v>1999</v>
      </c>
      <c r="D245" s="6">
        <v>13.9843378</v>
      </c>
      <c r="E245" s="6">
        <v>10.959153199999999</v>
      </c>
      <c r="F245" s="6">
        <v>20.318527199999998</v>
      </c>
    </row>
    <row r="246" spans="1:6" x14ac:dyDescent="0.2">
      <c r="A246" s="6" t="s">
        <v>17</v>
      </c>
      <c r="B246" s="6">
        <v>2000</v>
      </c>
      <c r="C246" s="6">
        <v>2004</v>
      </c>
      <c r="D246" s="6">
        <v>13.3436947</v>
      </c>
      <c r="E246" s="6">
        <v>10.162254300000001</v>
      </c>
      <c r="F246" s="6">
        <v>19.626195899999999</v>
      </c>
    </row>
    <row r="247" spans="1:6" x14ac:dyDescent="0.2">
      <c r="A247" s="6" t="s">
        <v>17</v>
      </c>
      <c r="B247" s="6">
        <v>2005</v>
      </c>
      <c r="C247" s="6">
        <v>2009</v>
      </c>
      <c r="D247" s="6">
        <v>14.217550299999999</v>
      </c>
      <c r="E247" s="6">
        <v>10.867109299999999</v>
      </c>
      <c r="F247" s="6">
        <v>21.050638200000002</v>
      </c>
    </row>
    <row r="248" spans="1:6" x14ac:dyDescent="0.2">
      <c r="A248" s="6" t="s">
        <v>17</v>
      </c>
      <c r="B248" s="6">
        <v>2010</v>
      </c>
      <c r="C248" s="6">
        <v>2014</v>
      </c>
      <c r="D248" s="6">
        <v>14.423843400000001</v>
      </c>
      <c r="E248" s="6">
        <v>11.107552500000001</v>
      </c>
      <c r="F248" s="6">
        <v>21.4011593</v>
      </c>
    </row>
    <row r="249" spans="1:6" x14ac:dyDescent="0.2">
      <c r="A249" s="6" t="s">
        <v>17</v>
      </c>
      <c r="B249" s="6">
        <v>2015</v>
      </c>
      <c r="C249" s="6">
        <v>2019</v>
      </c>
      <c r="D249" s="6">
        <v>15.762288099999999</v>
      </c>
      <c r="E249" s="6">
        <v>12.657481199999999</v>
      </c>
      <c r="F249" s="6">
        <v>22.547660799999999</v>
      </c>
    </row>
    <row r="250" spans="1:6" x14ac:dyDescent="0.2">
      <c r="A250" s="6" t="s">
        <v>17</v>
      </c>
      <c r="B250" s="6">
        <v>2020</v>
      </c>
      <c r="C250" s="6">
        <v>2024</v>
      </c>
      <c r="D250" s="6">
        <v>14.971713100000001</v>
      </c>
      <c r="E250" s="6">
        <v>11.339793200000001</v>
      </c>
      <c r="F250" s="6">
        <v>22.5424957</v>
      </c>
    </row>
    <row r="251" spans="1:6" x14ac:dyDescent="0.2">
      <c r="A251" s="6" t="s">
        <v>17</v>
      </c>
      <c r="B251" s="6">
        <v>2025</v>
      </c>
      <c r="C251" s="6">
        <v>2029</v>
      </c>
      <c r="D251" s="6">
        <v>14.652442000000001</v>
      </c>
      <c r="E251" s="6">
        <v>11.147067099999999</v>
      </c>
      <c r="F251" s="6">
        <v>21.849615100000001</v>
      </c>
    </row>
    <row r="252" spans="1:6" x14ac:dyDescent="0.2">
      <c r="A252" s="6" t="s">
        <v>17</v>
      </c>
      <c r="B252" s="6">
        <v>2030</v>
      </c>
      <c r="C252" s="6">
        <v>2034</v>
      </c>
      <c r="D252" s="6">
        <v>16.2204552</v>
      </c>
      <c r="E252" s="6">
        <v>12.7830648</v>
      </c>
      <c r="F252" s="6">
        <v>23.631648999999999</v>
      </c>
    </row>
    <row r="253" spans="1:6" x14ac:dyDescent="0.2">
      <c r="A253" s="6" t="s">
        <v>17</v>
      </c>
      <c r="B253" s="6">
        <v>2035</v>
      </c>
      <c r="C253" s="6">
        <v>2039</v>
      </c>
      <c r="D253" s="6">
        <v>15.8485975</v>
      </c>
      <c r="E253" s="6">
        <v>12.4417095</v>
      </c>
      <c r="F253" s="6">
        <v>23.2631397</v>
      </c>
    </row>
    <row r="254" spans="1:6" x14ac:dyDescent="0.2">
      <c r="A254" s="6" t="s">
        <v>17</v>
      </c>
      <c r="B254" s="6">
        <v>2040</v>
      </c>
      <c r="C254" s="6">
        <v>2044</v>
      </c>
      <c r="D254" s="6">
        <v>15.914709999999999</v>
      </c>
      <c r="E254" s="6">
        <v>12.526603700000001</v>
      </c>
      <c r="F254" s="6">
        <v>23.2307205</v>
      </c>
    </row>
    <row r="255" spans="1:6" x14ac:dyDescent="0.2">
      <c r="A255" s="6" t="s">
        <v>17</v>
      </c>
      <c r="B255" s="6">
        <v>2045</v>
      </c>
      <c r="C255" s="6">
        <v>2049</v>
      </c>
      <c r="D255" s="6">
        <v>16.389070499999999</v>
      </c>
      <c r="E255" s="6">
        <v>12.9305944</v>
      </c>
      <c r="F255" s="6">
        <v>23.731411000000001</v>
      </c>
    </row>
    <row r="256" spans="1:6" x14ac:dyDescent="0.2">
      <c r="A256" s="6" t="s">
        <v>17</v>
      </c>
      <c r="B256" s="6">
        <v>2050</v>
      </c>
      <c r="C256" s="6">
        <v>2054</v>
      </c>
      <c r="D256" s="6">
        <v>17.134750400000001</v>
      </c>
      <c r="E256" s="6">
        <v>13.41535</v>
      </c>
      <c r="F256" s="6">
        <v>25.2202129</v>
      </c>
    </row>
    <row r="257" spans="1:6" x14ac:dyDescent="0.2">
      <c r="A257" s="6" t="s">
        <v>17</v>
      </c>
      <c r="B257" s="6">
        <v>2055</v>
      </c>
      <c r="C257" s="6">
        <v>2059</v>
      </c>
      <c r="D257" s="6">
        <v>16.695735899999999</v>
      </c>
      <c r="E257" s="6">
        <v>13.173933</v>
      </c>
      <c r="F257" s="6">
        <v>24.115268700000001</v>
      </c>
    </row>
    <row r="258" spans="1:6" x14ac:dyDescent="0.2">
      <c r="A258" s="6" t="s">
        <v>17</v>
      </c>
      <c r="B258" s="6">
        <v>2060</v>
      </c>
      <c r="C258" s="6">
        <v>2064</v>
      </c>
      <c r="D258" s="6">
        <v>17.722929000000001</v>
      </c>
      <c r="E258" s="6">
        <v>14.1809864</v>
      </c>
      <c r="F258" s="6">
        <v>25.590503699999999</v>
      </c>
    </row>
    <row r="259" spans="1:6" x14ac:dyDescent="0.2">
      <c r="A259" s="6" t="s">
        <v>17</v>
      </c>
      <c r="B259" s="6">
        <v>2065</v>
      </c>
      <c r="C259" s="6">
        <v>2069</v>
      </c>
      <c r="D259" s="6">
        <v>18.1190262</v>
      </c>
      <c r="E259" s="6">
        <v>14.594788599999999</v>
      </c>
      <c r="F259" s="6">
        <v>25.981536899999998</v>
      </c>
    </row>
    <row r="260" spans="1:6" x14ac:dyDescent="0.2">
      <c r="A260" s="6" t="s">
        <v>17</v>
      </c>
      <c r="B260" s="6">
        <v>2070</v>
      </c>
      <c r="C260" s="6">
        <v>2074</v>
      </c>
      <c r="D260" s="6">
        <v>17.546531699999999</v>
      </c>
      <c r="E260" s="6">
        <v>13.806680699999999</v>
      </c>
      <c r="F260" s="6">
        <v>25.770399099999999</v>
      </c>
    </row>
    <row r="261" spans="1:6" x14ac:dyDescent="0.2">
      <c r="A261" s="6" t="s">
        <v>17</v>
      </c>
      <c r="B261" s="6">
        <v>2075</v>
      </c>
      <c r="C261" s="6">
        <v>2079</v>
      </c>
      <c r="D261" s="6">
        <v>18.436632199999998</v>
      </c>
      <c r="E261" s="6">
        <v>14.420243299999999</v>
      </c>
      <c r="F261" s="6">
        <v>27.153858199999998</v>
      </c>
    </row>
    <row r="262" spans="1:6" x14ac:dyDescent="0.2">
      <c r="A262" s="6" t="s">
        <v>17</v>
      </c>
      <c r="B262" s="6">
        <v>2080</v>
      </c>
      <c r="C262" s="6">
        <v>2084</v>
      </c>
      <c r="D262" s="6">
        <v>18.160207700000001</v>
      </c>
      <c r="E262" s="6">
        <v>14.121018400000001</v>
      </c>
      <c r="F262" s="6">
        <v>26.806188599999999</v>
      </c>
    </row>
    <row r="263" spans="1:6" x14ac:dyDescent="0.2">
      <c r="A263" s="6" t="s">
        <v>17</v>
      </c>
      <c r="B263" s="6">
        <v>2085</v>
      </c>
      <c r="C263" s="6">
        <v>2089</v>
      </c>
      <c r="D263" s="6">
        <v>17.791746100000001</v>
      </c>
      <c r="E263" s="6">
        <v>13.5013313</v>
      </c>
      <c r="F263" s="6">
        <v>26.9145222</v>
      </c>
    </row>
    <row r="264" spans="1:6" x14ac:dyDescent="0.2">
      <c r="A264" s="6" t="s">
        <v>17</v>
      </c>
      <c r="B264" s="6">
        <v>2090</v>
      </c>
      <c r="C264" s="6">
        <v>2094</v>
      </c>
      <c r="D264" s="6">
        <v>19.399389299999999</v>
      </c>
      <c r="E264" s="6">
        <v>15.038210899999999</v>
      </c>
      <c r="F264" s="6">
        <v>28.7700958</v>
      </c>
    </row>
    <row r="265" spans="1:6" x14ac:dyDescent="0.2">
      <c r="A265" s="6" t="s">
        <v>17</v>
      </c>
      <c r="B265" s="6">
        <v>2095</v>
      </c>
      <c r="C265" s="6">
        <v>2099</v>
      </c>
      <c r="D265" s="6">
        <v>20.6788311</v>
      </c>
      <c r="E265" s="6">
        <v>16.562593499999998</v>
      </c>
      <c r="F265" s="6">
        <v>29.707687400000001</v>
      </c>
    </row>
    <row r="266" spans="1:6" x14ac:dyDescent="0.2">
      <c r="A266" s="6" t="s">
        <v>18</v>
      </c>
      <c r="B266" s="6">
        <v>1990</v>
      </c>
      <c r="C266" s="6">
        <v>1994</v>
      </c>
      <c r="D266" s="6">
        <v>1.9818577799999999</v>
      </c>
      <c r="E266" s="6">
        <v>1.8726815000000001</v>
      </c>
      <c r="F266" s="6">
        <v>2.0697605600000002</v>
      </c>
    </row>
    <row r="267" spans="1:6" x14ac:dyDescent="0.2">
      <c r="A267" s="6" t="s">
        <v>18</v>
      </c>
      <c r="B267" s="6">
        <v>1995</v>
      </c>
      <c r="C267" s="6">
        <v>1999</v>
      </c>
      <c r="D267" s="6">
        <v>2.0235695800000002</v>
      </c>
      <c r="E267" s="6">
        <v>1.8455315800000001</v>
      </c>
      <c r="F267" s="6">
        <v>2.2457213399999998</v>
      </c>
    </row>
    <row r="268" spans="1:6" x14ac:dyDescent="0.2">
      <c r="A268" s="6" t="s">
        <v>18</v>
      </c>
      <c r="B268" s="6">
        <v>2000</v>
      </c>
      <c r="C268" s="6">
        <v>2004</v>
      </c>
      <c r="D268" s="6">
        <v>2.0830147299999999</v>
      </c>
      <c r="E268" s="6">
        <v>1.97792363</v>
      </c>
      <c r="F268" s="6">
        <v>2.1507584999999998</v>
      </c>
    </row>
    <row r="269" spans="1:6" x14ac:dyDescent="0.2">
      <c r="A269" s="6" t="s">
        <v>18</v>
      </c>
      <c r="B269" s="6">
        <v>2005</v>
      </c>
      <c r="C269" s="6">
        <v>2009</v>
      </c>
      <c r="D269" s="6">
        <v>2.0475215900000001</v>
      </c>
      <c r="E269" s="6">
        <v>1.9694601300000001</v>
      </c>
      <c r="F269" s="6">
        <v>2.0706951600000001</v>
      </c>
    </row>
    <row r="270" spans="1:6" x14ac:dyDescent="0.2">
      <c r="A270" s="6" t="s">
        <v>18</v>
      </c>
      <c r="B270" s="6">
        <v>2010</v>
      </c>
      <c r="C270" s="6">
        <v>2014</v>
      </c>
      <c r="D270" s="6">
        <v>1.9257965100000001</v>
      </c>
      <c r="E270" s="6">
        <v>1.81196964</v>
      </c>
      <c r="F270" s="6">
        <v>2.04795265</v>
      </c>
    </row>
    <row r="271" spans="1:6" x14ac:dyDescent="0.2">
      <c r="A271" s="6" t="s">
        <v>18</v>
      </c>
      <c r="B271" s="6">
        <v>2015</v>
      </c>
      <c r="C271" s="6">
        <v>2019</v>
      </c>
      <c r="D271" s="6">
        <v>2.12783313</v>
      </c>
      <c r="E271" s="6">
        <v>2.00159836</v>
      </c>
      <c r="F271" s="6">
        <v>2.2374625199999998</v>
      </c>
    </row>
    <row r="272" spans="1:6" x14ac:dyDescent="0.2">
      <c r="A272" s="6" t="s">
        <v>18</v>
      </c>
      <c r="B272" s="6">
        <v>2020</v>
      </c>
      <c r="C272" s="6">
        <v>2024</v>
      </c>
      <c r="D272" s="6">
        <v>2.2701168100000002</v>
      </c>
      <c r="E272" s="6">
        <v>2.1648297300000001</v>
      </c>
      <c r="F272" s="6">
        <v>2.3518652900000001</v>
      </c>
    </row>
    <row r="273" spans="1:6" x14ac:dyDescent="0.2">
      <c r="A273" s="6" t="s">
        <v>18</v>
      </c>
      <c r="B273" s="6">
        <v>2025</v>
      </c>
      <c r="C273" s="6">
        <v>2029</v>
      </c>
      <c r="D273" s="6">
        <v>2.10469222</v>
      </c>
      <c r="E273" s="6">
        <v>1.94541228</v>
      </c>
      <c r="F273" s="6">
        <v>2.2887425399999999</v>
      </c>
    </row>
    <row r="274" spans="1:6" x14ac:dyDescent="0.2">
      <c r="A274" s="6" t="s">
        <v>18</v>
      </c>
      <c r="B274" s="6">
        <v>2030</v>
      </c>
      <c r="C274" s="6">
        <v>2034</v>
      </c>
      <c r="D274" s="6">
        <v>2.01013017</v>
      </c>
      <c r="E274" s="6">
        <v>1.8604257099999999</v>
      </c>
      <c r="F274" s="6">
        <v>2.1699955499999999</v>
      </c>
    </row>
    <row r="275" spans="1:6" x14ac:dyDescent="0.2">
      <c r="A275" s="6" t="s">
        <v>18</v>
      </c>
      <c r="B275" s="6">
        <v>2035</v>
      </c>
      <c r="C275" s="6">
        <v>2039</v>
      </c>
      <c r="D275" s="6">
        <v>2.1868145499999998</v>
      </c>
      <c r="E275" s="6">
        <v>2.12121892</v>
      </c>
      <c r="F275" s="6">
        <v>2.2076976300000002</v>
      </c>
    </row>
    <row r="276" spans="1:6" x14ac:dyDescent="0.2">
      <c r="A276" s="6" t="s">
        <v>18</v>
      </c>
      <c r="B276" s="6">
        <v>2040</v>
      </c>
      <c r="C276" s="6">
        <v>2044</v>
      </c>
      <c r="D276" s="6">
        <v>2.2820479900000001</v>
      </c>
      <c r="E276" s="6">
        <v>2.1344099000000001</v>
      </c>
      <c r="F276" s="6">
        <v>2.4152369500000002</v>
      </c>
    </row>
    <row r="277" spans="1:6" x14ac:dyDescent="0.2">
      <c r="A277" s="6" t="s">
        <v>18</v>
      </c>
      <c r="B277" s="6">
        <v>2045</v>
      </c>
      <c r="C277" s="6">
        <v>2049</v>
      </c>
      <c r="D277" s="6">
        <v>2.1561436700000001</v>
      </c>
      <c r="E277" s="6">
        <v>2.0229091600000002</v>
      </c>
      <c r="F277" s="6">
        <v>2.2629358800000001</v>
      </c>
    </row>
    <row r="278" spans="1:6" x14ac:dyDescent="0.2">
      <c r="A278" s="6" t="s">
        <v>18</v>
      </c>
      <c r="B278" s="6">
        <v>2050</v>
      </c>
      <c r="C278" s="6">
        <v>2054</v>
      </c>
      <c r="D278" s="6">
        <v>2.3004317300000001</v>
      </c>
      <c r="E278" s="6">
        <v>2.1385388399999998</v>
      </c>
      <c r="F278" s="6">
        <v>2.4787273399999998</v>
      </c>
    </row>
    <row r="279" spans="1:6" x14ac:dyDescent="0.2">
      <c r="A279" s="6" t="s">
        <v>18</v>
      </c>
      <c r="B279" s="6">
        <v>2055</v>
      </c>
      <c r="C279" s="6">
        <v>2059</v>
      </c>
      <c r="D279" s="6">
        <v>2.4757757200000001</v>
      </c>
      <c r="E279" s="6">
        <v>2.3469190599999998</v>
      </c>
      <c r="F279" s="6">
        <v>2.5857491499999998</v>
      </c>
    </row>
    <row r="280" spans="1:6" x14ac:dyDescent="0.2">
      <c r="A280" s="6" t="s">
        <v>18</v>
      </c>
      <c r="B280" s="6">
        <v>2060</v>
      </c>
      <c r="C280" s="6">
        <v>2064</v>
      </c>
      <c r="D280" s="6">
        <v>2.6839258699999999</v>
      </c>
      <c r="E280" s="6">
        <v>2.5015289799999998</v>
      </c>
      <c r="F280" s="6">
        <v>2.8785083299999998</v>
      </c>
    </row>
    <row r="281" spans="1:6" x14ac:dyDescent="0.2">
      <c r="A281" s="6" t="s">
        <v>18</v>
      </c>
      <c r="B281" s="6">
        <v>2065</v>
      </c>
      <c r="C281" s="6">
        <v>2069</v>
      </c>
      <c r="D281" s="6">
        <v>2.7121281599999998</v>
      </c>
      <c r="E281" s="6">
        <v>2.53620768</v>
      </c>
      <c r="F281" s="6">
        <v>2.87828851</v>
      </c>
    </row>
    <row r="282" spans="1:6" x14ac:dyDescent="0.2">
      <c r="A282" s="6" t="s">
        <v>18</v>
      </c>
      <c r="B282" s="6">
        <v>2070</v>
      </c>
      <c r="C282" s="6">
        <v>2074</v>
      </c>
      <c r="D282" s="6">
        <v>2.8454279900000001</v>
      </c>
      <c r="E282" s="6">
        <v>2.6089978199999999</v>
      </c>
      <c r="F282" s="6">
        <v>3.1246075599999998</v>
      </c>
    </row>
    <row r="283" spans="1:6" x14ac:dyDescent="0.2">
      <c r="A283" s="6" t="s">
        <v>18</v>
      </c>
      <c r="B283" s="6">
        <v>2075</v>
      </c>
      <c r="C283" s="6">
        <v>2079</v>
      </c>
      <c r="D283" s="6">
        <v>2.7569704100000001</v>
      </c>
      <c r="E283" s="6">
        <v>2.5636127000000002</v>
      </c>
      <c r="F283" s="6">
        <v>2.9439837899999999</v>
      </c>
    </row>
    <row r="284" spans="1:6" x14ac:dyDescent="0.2">
      <c r="A284" s="6" t="s">
        <v>18</v>
      </c>
      <c r="B284" s="6">
        <v>2080</v>
      </c>
      <c r="C284" s="6">
        <v>2084</v>
      </c>
      <c r="D284" s="6">
        <v>3.5152082400000002</v>
      </c>
      <c r="E284" s="6">
        <v>3.2817764299999999</v>
      </c>
      <c r="F284" s="6">
        <v>3.7879259599999999</v>
      </c>
    </row>
    <row r="285" spans="1:6" x14ac:dyDescent="0.2">
      <c r="A285" s="6" t="s">
        <v>18</v>
      </c>
      <c r="B285" s="6">
        <v>2085</v>
      </c>
      <c r="C285" s="6">
        <v>2089</v>
      </c>
      <c r="D285" s="6">
        <v>3.6387851200000001</v>
      </c>
      <c r="E285" s="6">
        <v>3.2175877100000001</v>
      </c>
      <c r="F285" s="6">
        <v>4.2116322500000001</v>
      </c>
    </row>
    <row r="286" spans="1:6" x14ac:dyDescent="0.2">
      <c r="A286" s="6" t="s">
        <v>18</v>
      </c>
      <c r="B286" s="6">
        <v>2090</v>
      </c>
      <c r="C286" s="6">
        <v>2094</v>
      </c>
      <c r="D286" s="6">
        <v>3.6886894699999999</v>
      </c>
      <c r="E286" s="6">
        <v>3.3396308399999999</v>
      </c>
      <c r="F286" s="6">
        <v>4.1154394099999996</v>
      </c>
    </row>
    <row r="287" spans="1:6" x14ac:dyDescent="0.2">
      <c r="A287" s="6" t="s">
        <v>18</v>
      </c>
      <c r="B287" s="6">
        <v>2095</v>
      </c>
      <c r="C287" s="6">
        <v>2099</v>
      </c>
      <c r="D287" s="6">
        <v>3.7488717999999999</v>
      </c>
      <c r="E287" s="6">
        <v>3.41120219</v>
      </c>
      <c r="F287" s="6">
        <v>4.16043568</v>
      </c>
    </row>
    <row r="288" spans="1:6" x14ac:dyDescent="0.2">
      <c r="A288" s="6" t="s">
        <v>19</v>
      </c>
      <c r="B288" s="6">
        <v>1990</v>
      </c>
      <c r="C288" s="6">
        <v>1994</v>
      </c>
      <c r="D288" s="6">
        <v>1.36017108</v>
      </c>
      <c r="E288" s="6">
        <v>1.24327612</v>
      </c>
      <c r="F288" s="6">
        <v>1.38823915</v>
      </c>
    </row>
    <row r="289" spans="1:6" x14ac:dyDescent="0.2">
      <c r="A289" s="6" t="s">
        <v>19</v>
      </c>
      <c r="B289" s="6">
        <v>1995</v>
      </c>
      <c r="C289" s="6">
        <v>1999</v>
      </c>
      <c r="D289" s="6">
        <v>1.5170369100000001</v>
      </c>
      <c r="E289" s="6">
        <v>1.344859</v>
      </c>
      <c r="F289" s="6">
        <v>1.5860112900000001</v>
      </c>
    </row>
    <row r="290" spans="1:6" x14ac:dyDescent="0.2">
      <c r="A290" s="6" t="s">
        <v>19</v>
      </c>
      <c r="B290" s="6">
        <v>2000</v>
      </c>
      <c r="C290" s="6">
        <v>2004</v>
      </c>
      <c r="D290" s="6">
        <v>1.49526918</v>
      </c>
      <c r="E290" s="6">
        <v>1.29604137</v>
      </c>
      <c r="F290" s="6">
        <v>1.6104079499999999</v>
      </c>
    </row>
    <row r="291" spans="1:6" x14ac:dyDescent="0.2">
      <c r="A291" s="6" t="s">
        <v>19</v>
      </c>
      <c r="B291" s="6">
        <v>2005</v>
      </c>
      <c r="C291" s="6">
        <v>2009</v>
      </c>
      <c r="D291" s="6">
        <v>1.6809963000000001</v>
      </c>
      <c r="E291" s="6">
        <v>1.40197778</v>
      </c>
      <c r="F291" s="6">
        <v>1.8719971200000001</v>
      </c>
    </row>
    <row r="292" spans="1:6" x14ac:dyDescent="0.2">
      <c r="A292" s="6" t="s">
        <v>19</v>
      </c>
      <c r="B292" s="6">
        <v>2010</v>
      </c>
      <c r="C292" s="6">
        <v>2014</v>
      </c>
      <c r="D292" s="6">
        <v>1.55284154</v>
      </c>
      <c r="E292" s="6">
        <v>1.43336964</v>
      </c>
      <c r="F292" s="6">
        <v>1.5489044199999999</v>
      </c>
    </row>
    <row r="293" spans="1:6" x14ac:dyDescent="0.2">
      <c r="A293" s="6" t="s">
        <v>19</v>
      </c>
      <c r="B293" s="6">
        <v>2015</v>
      </c>
      <c r="C293" s="6">
        <v>2019</v>
      </c>
      <c r="D293" s="6">
        <v>1.69669044</v>
      </c>
      <c r="E293" s="6">
        <v>1.47398067</v>
      </c>
      <c r="F293" s="6">
        <v>1.80766582</v>
      </c>
    </row>
    <row r="294" spans="1:6" x14ac:dyDescent="0.2">
      <c r="A294" s="6" t="s">
        <v>19</v>
      </c>
      <c r="B294" s="6">
        <v>2020</v>
      </c>
      <c r="C294" s="6">
        <v>2024</v>
      </c>
      <c r="D294" s="6">
        <v>1.6871886300000001</v>
      </c>
      <c r="E294" s="6">
        <v>1.48494244</v>
      </c>
      <c r="F294" s="6">
        <v>1.78337967</v>
      </c>
    </row>
    <row r="295" spans="1:6" x14ac:dyDescent="0.2">
      <c r="A295" s="6" t="s">
        <v>19</v>
      </c>
      <c r="B295" s="6">
        <v>2025</v>
      </c>
      <c r="C295" s="6">
        <v>2029</v>
      </c>
      <c r="D295" s="6">
        <v>1.8286532200000001</v>
      </c>
      <c r="E295" s="6">
        <v>1.6552782100000001</v>
      </c>
      <c r="F295" s="6">
        <v>1.8623950499999999</v>
      </c>
    </row>
    <row r="296" spans="1:6" x14ac:dyDescent="0.2">
      <c r="A296" s="6" t="s">
        <v>19</v>
      </c>
      <c r="B296" s="6">
        <v>2030</v>
      </c>
      <c r="C296" s="6">
        <v>2034</v>
      </c>
      <c r="D296" s="6">
        <v>1.87878466</v>
      </c>
      <c r="E296" s="6">
        <v>1.5739269300000001</v>
      </c>
      <c r="F296" s="6">
        <v>2.0815842199999999</v>
      </c>
    </row>
    <row r="297" spans="1:6" x14ac:dyDescent="0.2">
      <c r="A297" s="6" t="s">
        <v>19</v>
      </c>
      <c r="B297" s="6">
        <v>2035</v>
      </c>
      <c r="C297" s="6">
        <v>2039</v>
      </c>
      <c r="D297" s="6">
        <v>1.7313821300000001</v>
      </c>
      <c r="E297" s="6">
        <v>1.4921921499999999</v>
      </c>
      <c r="F297" s="6">
        <v>1.8628701000000001</v>
      </c>
    </row>
    <row r="298" spans="1:6" x14ac:dyDescent="0.2">
      <c r="A298" s="6" t="s">
        <v>19</v>
      </c>
      <c r="B298" s="6">
        <v>2040</v>
      </c>
      <c r="C298" s="6">
        <v>2044</v>
      </c>
      <c r="D298" s="6">
        <v>1.6606059099999999</v>
      </c>
      <c r="E298" s="6">
        <v>1.4415153300000001</v>
      </c>
      <c r="F298" s="6">
        <v>1.7708758099999999</v>
      </c>
    </row>
    <row r="299" spans="1:6" x14ac:dyDescent="0.2">
      <c r="A299" s="6" t="s">
        <v>19</v>
      </c>
      <c r="B299" s="6">
        <v>2045</v>
      </c>
      <c r="C299" s="6">
        <v>2049</v>
      </c>
      <c r="D299" s="6">
        <v>1.92827964</v>
      </c>
      <c r="E299" s="6">
        <v>1.6144539099999999</v>
      </c>
      <c r="F299" s="6">
        <v>2.13538527</v>
      </c>
    </row>
    <row r="300" spans="1:6" x14ac:dyDescent="0.2">
      <c r="A300" s="6" t="s">
        <v>19</v>
      </c>
      <c r="B300" s="6">
        <v>2050</v>
      </c>
      <c r="C300" s="6">
        <v>2054</v>
      </c>
      <c r="D300" s="6">
        <v>1.82717979</v>
      </c>
      <c r="E300" s="6">
        <v>1.6580309900000001</v>
      </c>
      <c r="F300" s="6">
        <v>1.8603581199999999</v>
      </c>
    </row>
    <row r="301" spans="1:6" x14ac:dyDescent="0.2">
      <c r="A301" s="6" t="s">
        <v>19</v>
      </c>
      <c r="B301" s="6">
        <v>2055</v>
      </c>
      <c r="C301" s="6">
        <v>2059</v>
      </c>
      <c r="D301" s="6">
        <v>2.1510503299999999</v>
      </c>
      <c r="E301" s="6">
        <v>1.8046188400000001</v>
      </c>
      <c r="F301" s="6">
        <v>2.3544416400000001</v>
      </c>
    </row>
    <row r="302" spans="1:6" x14ac:dyDescent="0.2">
      <c r="A302" s="6" t="s">
        <v>19</v>
      </c>
      <c r="B302" s="6">
        <v>2060</v>
      </c>
      <c r="C302" s="6">
        <v>2064</v>
      </c>
      <c r="D302" s="6">
        <v>2.1518712</v>
      </c>
      <c r="E302" s="6">
        <v>1.88062668</v>
      </c>
      <c r="F302" s="6">
        <v>2.2766745099999999</v>
      </c>
    </row>
    <row r="303" spans="1:6" x14ac:dyDescent="0.2">
      <c r="A303" s="6" t="s">
        <v>19</v>
      </c>
      <c r="B303" s="6">
        <v>2065</v>
      </c>
      <c r="C303" s="6">
        <v>2069</v>
      </c>
      <c r="D303" s="6">
        <v>2.0698688000000001</v>
      </c>
      <c r="E303" s="6">
        <v>1.74226868</v>
      </c>
      <c r="F303" s="6">
        <v>2.26200271</v>
      </c>
    </row>
    <row r="304" spans="1:6" x14ac:dyDescent="0.2">
      <c r="A304" s="6" t="s">
        <v>19</v>
      </c>
      <c r="B304" s="6">
        <v>2070</v>
      </c>
      <c r="C304" s="6">
        <v>2074</v>
      </c>
      <c r="D304" s="6">
        <v>2.53967667</v>
      </c>
      <c r="E304" s="6">
        <v>2.0487747199999999</v>
      </c>
      <c r="F304" s="6">
        <v>2.9250371500000001</v>
      </c>
    </row>
    <row r="305" spans="1:6" x14ac:dyDescent="0.2">
      <c r="A305" s="6" t="s">
        <v>19</v>
      </c>
      <c r="B305" s="6">
        <v>2075</v>
      </c>
      <c r="C305" s="6">
        <v>2079</v>
      </c>
      <c r="D305" s="6">
        <v>2.1245515300000002</v>
      </c>
      <c r="E305" s="6">
        <v>1.73265326</v>
      </c>
      <c r="F305" s="6">
        <v>2.4012374900000002</v>
      </c>
    </row>
    <row r="306" spans="1:6" x14ac:dyDescent="0.2">
      <c r="A306" s="6" t="s">
        <v>19</v>
      </c>
      <c r="B306" s="6">
        <v>2080</v>
      </c>
      <c r="C306" s="6">
        <v>2084</v>
      </c>
      <c r="D306" s="6">
        <v>2.4044270499999998</v>
      </c>
      <c r="E306" s="6">
        <v>1.93873703</v>
      </c>
      <c r="F306" s="6">
        <v>2.7389214000000002</v>
      </c>
    </row>
    <row r="307" spans="1:6" x14ac:dyDescent="0.2">
      <c r="A307" s="6" t="s">
        <v>19</v>
      </c>
      <c r="B307" s="6">
        <v>2085</v>
      </c>
      <c r="C307" s="6">
        <v>2089</v>
      </c>
      <c r="D307" s="6">
        <v>2.9084169900000001</v>
      </c>
      <c r="E307" s="6">
        <v>2.4299135199999999</v>
      </c>
      <c r="F307" s="6">
        <v>3.24445271</v>
      </c>
    </row>
    <row r="308" spans="1:6" x14ac:dyDescent="0.2">
      <c r="A308" s="6" t="s">
        <v>19</v>
      </c>
      <c r="B308" s="6">
        <v>2090</v>
      </c>
      <c r="C308" s="6">
        <v>2094</v>
      </c>
      <c r="D308" s="6">
        <v>2.6600441899999998</v>
      </c>
      <c r="E308" s="6">
        <v>2.1696658100000001</v>
      </c>
      <c r="F308" s="6">
        <v>3.0056839000000002</v>
      </c>
    </row>
    <row r="309" spans="1:6" x14ac:dyDescent="0.2">
      <c r="A309" s="6" t="s">
        <v>19</v>
      </c>
      <c r="B309" s="6">
        <v>2095</v>
      </c>
      <c r="C309" s="6">
        <v>2099</v>
      </c>
      <c r="D309" s="6">
        <v>2.84292173</v>
      </c>
      <c r="E309" s="6">
        <v>2.3696582300000002</v>
      </c>
      <c r="F309" s="6">
        <v>3.1427965200000001</v>
      </c>
    </row>
    <row r="310" spans="1:6" x14ac:dyDescent="0.2">
      <c r="A310" s="6" t="s">
        <v>20</v>
      </c>
      <c r="B310" s="6">
        <v>1990</v>
      </c>
      <c r="C310" s="6">
        <v>1994</v>
      </c>
      <c r="D310" s="6">
        <v>7.21445179</v>
      </c>
      <c r="E310" s="6">
        <v>5.5578484499999998</v>
      </c>
      <c r="F310" s="6">
        <v>11.1756039</v>
      </c>
    </row>
    <row r="311" spans="1:6" x14ac:dyDescent="0.2">
      <c r="A311" s="6" t="s">
        <v>20</v>
      </c>
      <c r="B311" s="6">
        <v>1995</v>
      </c>
      <c r="C311" s="6">
        <v>1999</v>
      </c>
      <c r="D311" s="6">
        <v>7.7708997699999998</v>
      </c>
      <c r="E311" s="6">
        <v>6.2011199000000001</v>
      </c>
      <c r="F311" s="6">
        <v>11.574729899999999</v>
      </c>
    </row>
    <row r="312" spans="1:6" x14ac:dyDescent="0.2">
      <c r="A312" s="6" t="s">
        <v>20</v>
      </c>
      <c r="B312" s="6">
        <v>2000</v>
      </c>
      <c r="C312" s="6">
        <v>2004</v>
      </c>
      <c r="D312" s="6">
        <v>8.3645038599999992</v>
      </c>
      <c r="E312" s="6">
        <v>6.5633921600000003</v>
      </c>
      <c r="F312" s="6">
        <v>12.736314800000001</v>
      </c>
    </row>
    <row r="313" spans="1:6" x14ac:dyDescent="0.2">
      <c r="A313" s="6" t="s">
        <v>20</v>
      </c>
      <c r="B313" s="6">
        <v>2005</v>
      </c>
      <c r="C313" s="6">
        <v>2009</v>
      </c>
      <c r="D313" s="6">
        <v>7.2289786300000003</v>
      </c>
      <c r="E313" s="6">
        <v>5.6574778600000002</v>
      </c>
      <c r="F313" s="6">
        <v>11.0166559</v>
      </c>
    </row>
    <row r="314" spans="1:6" x14ac:dyDescent="0.2">
      <c r="A314" s="6" t="s">
        <v>20</v>
      </c>
      <c r="B314" s="6">
        <v>2010</v>
      </c>
      <c r="C314" s="6">
        <v>2014</v>
      </c>
      <c r="D314" s="6">
        <v>8.4031047799999996</v>
      </c>
      <c r="E314" s="6">
        <v>6.5652055699999998</v>
      </c>
      <c r="F314" s="6">
        <v>12.896933600000001</v>
      </c>
    </row>
    <row r="315" spans="1:6" x14ac:dyDescent="0.2">
      <c r="A315" s="6" t="s">
        <v>20</v>
      </c>
      <c r="B315" s="6">
        <v>2015</v>
      </c>
      <c r="C315" s="6">
        <v>2019</v>
      </c>
      <c r="D315" s="6">
        <v>8.0270681400000008</v>
      </c>
      <c r="E315" s="6">
        <v>6.2921810200000001</v>
      </c>
      <c r="F315" s="6">
        <v>12.191293699999999</v>
      </c>
    </row>
    <row r="316" spans="1:6" x14ac:dyDescent="0.2">
      <c r="A316" s="6" t="s">
        <v>20</v>
      </c>
      <c r="B316" s="6">
        <v>2020</v>
      </c>
      <c r="C316" s="6">
        <v>2024</v>
      </c>
      <c r="D316" s="6">
        <v>8.5433311500000002</v>
      </c>
      <c r="E316" s="6">
        <v>6.6728043599999998</v>
      </c>
      <c r="F316" s="6">
        <v>13.0267582</v>
      </c>
    </row>
    <row r="317" spans="1:6" x14ac:dyDescent="0.2">
      <c r="A317" s="6" t="s">
        <v>20</v>
      </c>
      <c r="B317" s="6">
        <v>2025</v>
      </c>
      <c r="C317" s="6">
        <v>2029</v>
      </c>
      <c r="D317" s="6">
        <v>8.4735088300000001</v>
      </c>
      <c r="E317" s="6">
        <v>6.6724309899999996</v>
      </c>
      <c r="F317" s="6">
        <v>12.862392399999999</v>
      </c>
    </row>
    <row r="318" spans="1:6" x14ac:dyDescent="0.2">
      <c r="A318" s="6" t="s">
        <v>20</v>
      </c>
      <c r="B318" s="6">
        <v>2030</v>
      </c>
      <c r="C318" s="6">
        <v>2034</v>
      </c>
      <c r="D318" s="6">
        <v>8.8096876099999992</v>
      </c>
      <c r="E318" s="6">
        <v>6.9215879400000002</v>
      </c>
      <c r="F318" s="6">
        <v>13.3510437</v>
      </c>
    </row>
    <row r="319" spans="1:6" x14ac:dyDescent="0.2">
      <c r="A319" s="6" t="s">
        <v>20</v>
      </c>
      <c r="B319" s="6">
        <v>2035</v>
      </c>
      <c r="C319" s="6">
        <v>2039</v>
      </c>
      <c r="D319" s="6">
        <v>8.6404619199999999</v>
      </c>
      <c r="E319" s="6">
        <v>6.7711629899999997</v>
      </c>
      <c r="F319" s="6">
        <v>13.142016399999999</v>
      </c>
    </row>
    <row r="320" spans="1:6" x14ac:dyDescent="0.2">
      <c r="A320" s="6" t="s">
        <v>20</v>
      </c>
      <c r="B320" s="6">
        <v>2040</v>
      </c>
      <c r="C320" s="6">
        <v>2044</v>
      </c>
      <c r="D320" s="6">
        <v>9.0816688499999998</v>
      </c>
      <c r="E320" s="6">
        <v>7.2532916099999998</v>
      </c>
      <c r="F320" s="6">
        <v>13.529176700000001</v>
      </c>
    </row>
    <row r="321" spans="1:6" x14ac:dyDescent="0.2">
      <c r="A321" s="6" t="s">
        <v>20</v>
      </c>
      <c r="B321" s="6">
        <v>2045</v>
      </c>
      <c r="C321" s="6">
        <v>2049</v>
      </c>
      <c r="D321" s="6">
        <v>8.7205619799999994</v>
      </c>
      <c r="E321" s="6">
        <v>6.8490538599999997</v>
      </c>
      <c r="F321" s="6">
        <v>13.277227399999999</v>
      </c>
    </row>
    <row r="322" spans="1:6" x14ac:dyDescent="0.2">
      <c r="A322" s="6" t="s">
        <v>20</v>
      </c>
      <c r="B322" s="6">
        <v>2050</v>
      </c>
      <c r="C322" s="6">
        <v>2054</v>
      </c>
      <c r="D322" s="6">
        <v>9.5439948999999995</v>
      </c>
      <c r="E322" s="6">
        <v>7.3381481199999996</v>
      </c>
      <c r="F322" s="6">
        <v>14.912459399999999</v>
      </c>
    </row>
    <row r="323" spans="1:6" x14ac:dyDescent="0.2">
      <c r="A323" s="6" t="s">
        <v>20</v>
      </c>
      <c r="B323" s="6">
        <v>2055</v>
      </c>
      <c r="C323" s="6">
        <v>2059</v>
      </c>
      <c r="D323" s="6">
        <v>9.2578573199999994</v>
      </c>
      <c r="E323" s="6">
        <v>7.2573633199999996</v>
      </c>
      <c r="F323" s="6">
        <v>14.108314500000001</v>
      </c>
    </row>
    <row r="324" spans="1:6" x14ac:dyDescent="0.2">
      <c r="A324" s="6" t="s">
        <v>20</v>
      </c>
      <c r="B324" s="6">
        <v>2060</v>
      </c>
      <c r="C324" s="6">
        <v>2064</v>
      </c>
      <c r="D324" s="6">
        <v>9.7314662900000002</v>
      </c>
      <c r="E324" s="6">
        <v>7.7342338599999998</v>
      </c>
      <c r="F324" s="6">
        <v>14.621249199999999</v>
      </c>
    </row>
    <row r="325" spans="1:6" x14ac:dyDescent="0.2">
      <c r="A325" s="6" t="s">
        <v>20</v>
      </c>
      <c r="B325" s="6">
        <v>2065</v>
      </c>
      <c r="C325" s="6">
        <v>2069</v>
      </c>
      <c r="D325" s="6">
        <v>9.6213855699999993</v>
      </c>
      <c r="E325" s="6">
        <v>7.5473456399999996</v>
      </c>
      <c r="F325" s="6">
        <v>14.6799421</v>
      </c>
    </row>
    <row r="326" spans="1:6" x14ac:dyDescent="0.2">
      <c r="A326" s="6" t="s">
        <v>20</v>
      </c>
      <c r="B326" s="6">
        <v>2070</v>
      </c>
      <c r="C326" s="6">
        <v>2074</v>
      </c>
      <c r="D326" s="6">
        <v>9.0662040699999995</v>
      </c>
      <c r="E326" s="6">
        <v>7.0737042399999996</v>
      </c>
      <c r="F326" s="6">
        <v>13.8877878</v>
      </c>
    </row>
    <row r="327" spans="1:6" x14ac:dyDescent="0.2">
      <c r="A327" s="6" t="s">
        <v>20</v>
      </c>
      <c r="B327" s="6">
        <v>2075</v>
      </c>
      <c r="C327" s="6">
        <v>2079</v>
      </c>
      <c r="D327" s="6">
        <v>9.7025527999999994</v>
      </c>
      <c r="E327" s="6">
        <v>7.5598816900000001</v>
      </c>
      <c r="F327" s="6">
        <v>14.851843799999999</v>
      </c>
    </row>
    <row r="328" spans="1:6" x14ac:dyDescent="0.2">
      <c r="A328" s="6" t="s">
        <v>20</v>
      </c>
      <c r="B328" s="6">
        <v>2080</v>
      </c>
      <c r="C328" s="6">
        <v>2084</v>
      </c>
      <c r="D328" s="6">
        <v>10.139655100000001</v>
      </c>
      <c r="E328" s="6">
        <v>7.8819408400000004</v>
      </c>
      <c r="F328" s="6">
        <v>15.5575686</v>
      </c>
    </row>
    <row r="329" spans="1:6" x14ac:dyDescent="0.2">
      <c r="A329" s="6" t="s">
        <v>20</v>
      </c>
      <c r="B329" s="6">
        <v>2085</v>
      </c>
      <c r="C329" s="6">
        <v>2089</v>
      </c>
      <c r="D329" s="6">
        <v>11.0587149</v>
      </c>
      <c r="E329" s="6">
        <v>8.9202680599999997</v>
      </c>
      <c r="F329" s="6">
        <v>16.260753600000001</v>
      </c>
    </row>
    <row r="330" spans="1:6" x14ac:dyDescent="0.2">
      <c r="A330" s="6" t="s">
        <v>20</v>
      </c>
      <c r="B330" s="6">
        <v>2090</v>
      </c>
      <c r="C330" s="6">
        <v>2094</v>
      </c>
      <c r="D330" s="6">
        <v>10.3872681</v>
      </c>
      <c r="E330" s="6">
        <v>8.1390028000000001</v>
      </c>
      <c r="F330" s="6">
        <v>15.8483505</v>
      </c>
    </row>
    <row r="331" spans="1:6" x14ac:dyDescent="0.2">
      <c r="A331" s="6" t="s">
        <v>20</v>
      </c>
      <c r="B331" s="6">
        <v>2095</v>
      </c>
      <c r="C331" s="6">
        <v>2099</v>
      </c>
      <c r="D331" s="6">
        <v>10.656679199999999</v>
      </c>
      <c r="E331" s="6">
        <v>8.42931366</v>
      </c>
      <c r="F331" s="6">
        <v>16.070571900000001</v>
      </c>
    </row>
    <row r="332" spans="1:6" x14ac:dyDescent="0.2">
      <c r="A332" s="6" t="s">
        <v>21</v>
      </c>
      <c r="B332" s="6">
        <v>1990</v>
      </c>
      <c r="C332" s="6">
        <v>1994</v>
      </c>
      <c r="D332" s="6">
        <v>6.7551460299999997</v>
      </c>
      <c r="E332" s="6">
        <v>5.8730802500000001</v>
      </c>
      <c r="F332" s="6">
        <v>9.4227437999999992</v>
      </c>
    </row>
    <row r="333" spans="1:6" x14ac:dyDescent="0.2">
      <c r="A333" s="6" t="s">
        <v>21</v>
      </c>
      <c r="B333" s="6">
        <v>1995</v>
      </c>
      <c r="C333" s="6">
        <v>1999</v>
      </c>
      <c r="D333" s="6">
        <v>6.83976221</v>
      </c>
      <c r="E333" s="6">
        <v>5.9692025199999996</v>
      </c>
      <c r="F333" s="6">
        <v>9.4685401900000006</v>
      </c>
    </row>
    <row r="334" spans="1:6" x14ac:dyDescent="0.2">
      <c r="A334" s="6" t="s">
        <v>21</v>
      </c>
      <c r="B334" s="6">
        <v>2000</v>
      </c>
      <c r="C334" s="6">
        <v>2004</v>
      </c>
      <c r="D334" s="6">
        <v>6.8771548300000003</v>
      </c>
      <c r="E334" s="6">
        <v>6.0235462200000001</v>
      </c>
      <c r="F334" s="6">
        <v>9.4434604600000007</v>
      </c>
    </row>
    <row r="335" spans="1:6" x14ac:dyDescent="0.2">
      <c r="A335" s="6" t="s">
        <v>21</v>
      </c>
      <c r="B335" s="6">
        <v>2005</v>
      </c>
      <c r="C335" s="6">
        <v>2009</v>
      </c>
      <c r="D335" s="6">
        <v>7.1873063999999998</v>
      </c>
      <c r="E335" s="6">
        <v>6.4037571</v>
      </c>
      <c r="F335" s="6">
        <v>9.5941905999999992</v>
      </c>
    </row>
    <row r="336" spans="1:6" x14ac:dyDescent="0.2">
      <c r="A336" s="6" t="s">
        <v>21</v>
      </c>
      <c r="B336" s="6">
        <v>2010</v>
      </c>
      <c r="C336" s="6">
        <v>2014</v>
      </c>
      <c r="D336" s="6">
        <v>7.1652240799999998</v>
      </c>
      <c r="E336" s="6">
        <v>6.2631549800000004</v>
      </c>
      <c r="F336" s="6">
        <v>9.8523006399999993</v>
      </c>
    </row>
    <row r="337" spans="1:6" x14ac:dyDescent="0.2">
      <c r="A337" s="6" t="s">
        <v>21</v>
      </c>
      <c r="B337" s="6">
        <v>2015</v>
      </c>
      <c r="C337" s="6">
        <v>2019</v>
      </c>
      <c r="D337" s="6">
        <v>6.9775338199999997</v>
      </c>
      <c r="E337" s="6">
        <v>6.0262532200000001</v>
      </c>
      <c r="F337" s="6">
        <v>9.7504568099999993</v>
      </c>
    </row>
    <row r="338" spans="1:6" x14ac:dyDescent="0.2">
      <c r="A338" s="6" t="s">
        <v>21</v>
      </c>
      <c r="B338" s="6">
        <v>2020</v>
      </c>
      <c r="C338" s="6">
        <v>2024</v>
      </c>
      <c r="D338" s="6">
        <v>7.5584783599999996</v>
      </c>
      <c r="E338" s="6">
        <v>6.6789002399999999</v>
      </c>
      <c r="F338" s="6">
        <v>10.179739</v>
      </c>
    </row>
    <row r="339" spans="1:6" x14ac:dyDescent="0.2">
      <c r="A339" s="6" t="s">
        <v>21</v>
      </c>
      <c r="B339" s="6">
        <v>2025</v>
      </c>
      <c r="C339" s="6">
        <v>2029</v>
      </c>
      <c r="D339" s="6">
        <v>7.7055254</v>
      </c>
      <c r="E339" s="6">
        <v>6.7463512400000001</v>
      </c>
      <c r="F339" s="6">
        <v>10.5461426</v>
      </c>
    </row>
    <row r="340" spans="1:6" x14ac:dyDescent="0.2">
      <c r="A340" s="6" t="s">
        <v>21</v>
      </c>
      <c r="B340" s="6">
        <v>2030</v>
      </c>
      <c r="C340" s="6">
        <v>2034</v>
      </c>
      <c r="D340" s="6">
        <v>7.8435044300000003</v>
      </c>
      <c r="E340" s="6">
        <v>6.8833198500000004</v>
      </c>
      <c r="F340" s="6">
        <v>10.6814737</v>
      </c>
    </row>
    <row r="341" spans="1:6" x14ac:dyDescent="0.2">
      <c r="A341" s="6" t="s">
        <v>21</v>
      </c>
      <c r="B341" s="6">
        <v>2035</v>
      </c>
      <c r="C341" s="6">
        <v>2039</v>
      </c>
      <c r="D341" s="6">
        <v>8.3049268699999992</v>
      </c>
      <c r="E341" s="6">
        <v>7.3617744399999996</v>
      </c>
      <c r="F341" s="6">
        <v>11.151853600000001</v>
      </c>
    </row>
    <row r="342" spans="1:6" x14ac:dyDescent="0.2">
      <c r="A342" s="6" t="s">
        <v>21</v>
      </c>
      <c r="B342" s="6">
        <v>2040</v>
      </c>
      <c r="C342" s="6">
        <v>2044</v>
      </c>
      <c r="D342" s="6">
        <v>8.12016487</v>
      </c>
      <c r="E342" s="6">
        <v>7.1592950799999997</v>
      </c>
      <c r="F342" s="6">
        <v>10.9733448</v>
      </c>
    </row>
    <row r="343" spans="1:6" x14ac:dyDescent="0.2">
      <c r="A343" s="6" t="s">
        <v>21</v>
      </c>
      <c r="B343" s="6">
        <v>2045</v>
      </c>
      <c r="C343" s="6">
        <v>2049</v>
      </c>
      <c r="D343" s="6">
        <v>8.5873813600000002</v>
      </c>
      <c r="E343" s="6">
        <v>7.6162233400000003</v>
      </c>
      <c r="F343" s="6">
        <v>11.507571199999999</v>
      </c>
    </row>
    <row r="344" spans="1:6" x14ac:dyDescent="0.2">
      <c r="A344" s="6" t="s">
        <v>21</v>
      </c>
      <c r="B344" s="6">
        <v>2050</v>
      </c>
      <c r="C344" s="6">
        <v>2054</v>
      </c>
      <c r="D344" s="6">
        <v>8.9152488699999992</v>
      </c>
      <c r="E344" s="6">
        <v>7.9856877300000004</v>
      </c>
      <c r="F344" s="6">
        <v>11.705064800000001</v>
      </c>
    </row>
    <row r="345" spans="1:6" x14ac:dyDescent="0.2">
      <c r="A345" s="6" t="s">
        <v>21</v>
      </c>
      <c r="B345" s="6">
        <v>2055</v>
      </c>
      <c r="C345" s="6">
        <v>2059</v>
      </c>
      <c r="D345" s="6">
        <v>9.1698160200000007</v>
      </c>
      <c r="E345" s="6">
        <v>8.1966447799999997</v>
      </c>
      <c r="F345" s="6">
        <v>12.0620785</v>
      </c>
    </row>
    <row r="346" spans="1:6" x14ac:dyDescent="0.2">
      <c r="A346" s="6" t="s">
        <v>21</v>
      </c>
      <c r="B346" s="6">
        <v>2060</v>
      </c>
      <c r="C346" s="6">
        <v>2064</v>
      </c>
      <c r="D346" s="6">
        <v>9.4656772599999996</v>
      </c>
      <c r="E346" s="6">
        <v>8.4724597900000003</v>
      </c>
      <c r="F346" s="6">
        <v>12.4031076</v>
      </c>
    </row>
    <row r="347" spans="1:6" x14ac:dyDescent="0.2">
      <c r="A347" s="6" t="s">
        <v>21</v>
      </c>
      <c r="B347" s="6">
        <v>2065</v>
      </c>
      <c r="C347" s="6">
        <v>2069</v>
      </c>
      <c r="D347" s="6">
        <v>9.5209951400000001</v>
      </c>
      <c r="E347" s="6">
        <v>8.6306123699999997</v>
      </c>
      <c r="F347" s="6">
        <v>12.1940212</v>
      </c>
    </row>
    <row r="348" spans="1:6" x14ac:dyDescent="0.2">
      <c r="A348" s="6" t="s">
        <v>21</v>
      </c>
      <c r="B348" s="6">
        <v>2070</v>
      </c>
      <c r="C348" s="6">
        <v>2074</v>
      </c>
      <c r="D348" s="6">
        <v>9.1277389499999995</v>
      </c>
      <c r="E348" s="6">
        <v>8.2102050799999997</v>
      </c>
      <c r="F348" s="6">
        <v>11.728088400000001</v>
      </c>
    </row>
    <row r="349" spans="1:6" x14ac:dyDescent="0.2">
      <c r="A349" s="6" t="s">
        <v>21</v>
      </c>
      <c r="B349" s="6">
        <v>2075</v>
      </c>
      <c r="C349" s="6">
        <v>2079</v>
      </c>
      <c r="D349" s="6">
        <v>9.9936533000000001</v>
      </c>
      <c r="E349" s="6">
        <v>8.8713169100000009</v>
      </c>
      <c r="F349" s="6">
        <v>13.289775799999999</v>
      </c>
    </row>
    <row r="350" spans="1:6" x14ac:dyDescent="0.2">
      <c r="A350" s="6" t="s">
        <v>21</v>
      </c>
      <c r="B350" s="6">
        <v>2080</v>
      </c>
      <c r="C350" s="6">
        <v>2084</v>
      </c>
      <c r="D350" s="6">
        <v>9.9200859099999992</v>
      </c>
      <c r="E350" s="6">
        <v>8.9256420100000007</v>
      </c>
      <c r="F350" s="6">
        <v>12.8074932</v>
      </c>
    </row>
    <row r="351" spans="1:6" x14ac:dyDescent="0.2">
      <c r="A351" s="6" t="s">
        <v>21</v>
      </c>
      <c r="B351" s="6">
        <v>2085</v>
      </c>
      <c r="C351" s="6">
        <v>2089</v>
      </c>
      <c r="D351" s="6">
        <v>10.5327816</v>
      </c>
      <c r="E351" s="6">
        <v>9.6001319899999995</v>
      </c>
      <c r="F351" s="6">
        <v>13.3402052</v>
      </c>
    </row>
    <row r="352" spans="1:6" x14ac:dyDescent="0.2">
      <c r="A352" s="6" t="s">
        <v>21</v>
      </c>
      <c r="B352" s="6">
        <v>2090</v>
      </c>
      <c r="C352" s="6">
        <v>2094</v>
      </c>
      <c r="D352" s="6">
        <v>11.2521944</v>
      </c>
      <c r="E352" s="6">
        <v>10.167065600000001</v>
      </c>
      <c r="F352" s="6">
        <v>14.522259699999999</v>
      </c>
    </row>
    <row r="353" spans="1:6" x14ac:dyDescent="0.2">
      <c r="A353" s="6" t="s">
        <v>21</v>
      </c>
      <c r="B353" s="6">
        <v>2095</v>
      </c>
      <c r="C353" s="6">
        <v>2099</v>
      </c>
      <c r="D353" s="6">
        <v>11.043073700000001</v>
      </c>
      <c r="E353" s="6">
        <v>10.0184031</v>
      </c>
      <c r="F353" s="6">
        <v>14.001417200000001</v>
      </c>
    </row>
    <row r="354" spans="1:6" x14ac:dyDescent="0.2">
      <c r="A354" s="6" t="s">
        <v>22</v>
      </c>
      <c r="B354" s="6">
        <v>1990</v>
      </c>
      <c r="C354" s="6">
        <v>1994</v>
      </c>
      <c r="D354" s="6">
        <v>7.7689494000000003</v>
      </c>
      <c r="E354" s="6">
        <v>6.4468798300000003</v>
      </c>
      <c r="F354" s="6">
        <v>10.800694699999999</v>
      </c>
    </row>
    <row r="355" spans="1:6" x14ac:dyDescent="0.2">
      <c r="A355" s="6" t="s">
        <v>22</v>
      </c>
      <c r="B355" s="6">
        <v>1995</v>
      </c>
      <c r="C355" s="6">
        <v>1999</v>
      </c>
      <c r="D355" s="6">
        <v>8.2259816200000007</v>
      </c>
      <c r="E355" s="6">
        <v>6.8546267199999997</v>
      </c>
      <c r="F355" s="6">
        <v>11.4256332</v>
      </c>
    </row>
    <row r="356" spans="1:6" x14ac:dyDescent="0.2">
      <c r="A356" s="6" t="s">
        <v>22</v>
      </c>
      <c r="B356" s="6">
        <v>2000</v>
      </c>
      <c r="C356" s="6">
        <v>2004</v>
      </c>
      <c r="D356" s="6">
        <v>8.3456172100000003</v>
      </c>
      <c r="E356" s="6">
        <v>6.9322861500000004</v>
      </c>
      <c r="F356" s="6">
        <v>11.6020416</v>
      </c>
    </row>
    <row r="357" spans="1:6" x14ac:dyDescent="0.2">
      <c r="A357" s="6" t="s">
        <v>22</v>
      </c>
      <c r="B357" s="6">
        <v>2005</v>
      </c>
      <c r="C357" s="6">
        <v>2009</v>
      </c>
      <c r="D357" s="6">
        <v>8.2546372899999998</v>
      </c>
      <c r="E357" s="6">
        <v>6.8663805399999998</v>
      </c>
      <c r="F357" s="6">
        <v>11.446042</v>
      </c>
    </row>
    <row r="358" spans="1:6" x14ac:dyDescent="0.2">
      <c r="A358" s="6" t="s">
        <v>22</v>
      </c>
      <c r="B358" s="6">
        <v>2010</v>
      </c>
      <c r="C358" s="6">
        <v>2014</v>
      </c>
      <c r="D358" s="6">
        <v>8.53806507</v>
      </c>
      <c r="E358" s="6">
        <v>7.1207642800000004</v>
      </c>
      <c r="F358" s="6">
        <v>11.8418451</v>
      </c>
    </row>
    <row r="359" spans="1:6" x14ac:dyDescent="0.2">
      <c r="A359" s="6" t="s">
        <v>22</v>
      </c>
      <c r="B359" s="6">
        <v>2015</v>
      </c>
      <c r="C359" s="6">
        <v>2019</v>
      </c>
      <c r="D359" s="6">
        <v>8.6405607199999999</v>
      </c>
      <c r="E359" s="6">
        <v>7.2198132099999999</v>
      </c>
      <c r="F359" s="6">
        <v>11.959165799999999</v>
      </c>
    </row>
    <row r="360" spans="1:6" x14ac:dyDescent="0.2">
      <c r="A360" s="6" t="s">
        <v>22</v>
      </c>
      <c r="B360" s="6">
        <v>2020</v>
      </c>
      <c r="C360" s="6">
        <v>2024</v>
      </c>
      <c r="D360" s="6">
        <v>8.7266999199999997</v>
      </c>
      <c r="E360" s="6">
        <v>7.2532098300000003</v>
      </c>
      <c r="F360" s="6">
        <v>12.153294900000001</v>
      </c>
    </row>
    <row r="361" spans="1:6" x14ac:dyDescent="0.2">
      <c r="A361" s="6" t="s">
        <v>22</v>
      </c>
      <c r="B361" s="6">
        <v>2025</v>
      </c>
      <c r="C361" s="6">
        <v>2029</v>
      </c>
      <c r="D361" s="6">
        <v>8.9229559700000003</v>
      </c>
      <c r="E361" s="6">
        <v>7.4640536400000004</v>
      </c>
      <c r="F361" s="6">
        <v>12.3122243</v>
      </c>
    </row>
    <row r="362" spans="1:6" x14ac:dyDescent="0.2">
      <c r="A362" s="6" t="s">
        <v>22</v>
      </c>
      <c r="B362" s="6">
        <v>2030</v>
      </c>
      <c r="C362" s="6">
        <v>2034</v>
      </c>
      <c r="D362" s="6">
        <v>9.2044973500000005</v>
      </c>
      <c r="E362" s="6">
        <v>7.7075475600000001</v>
      </c>
      <c r="F362" s="6">
        <v>12.69636</v>
      </c>
    </row>
    <row r="363" spans="1:6" x14ac:dyDescent="0.2">
      <c r="A363" s="6" t="s">
        <v>22</v>
      </c>
      <c r="B363" s="6">
        <v>2035</v>
      </c>
      <c r="C363" s="6">
        <v>2039</v>
      </c>
      <c r="D363" s="6">
        <v>9.2566628499999997</v>
      </c>
      <c r="E363" s="6">
        <v>7.7478991500000003</v>
      </c>
      <c r="F363" s="6">
        <v>12.7886436</v>
      </c>
    </row>
    <row r="364" spans="1:6" x14ac:dyDescent="0.2">
      <c r="A364" s="6" t="s">
        <v>22</v>
      </c>
      <c r="B364" s="6">
        <v>2040</v>
      </c>
      <c r="C364" s="6">
        <v>2044</v>
      </c>
      <c r="D364" s="6">
        <v>9.4794620700000003</v>
      </c>
      <c r="E364" s="6">
        <v>7.9445301500000003</v>
      </c>
      <c r="F364" s="6">
        <v>13.0632851</v>
      </c>
    </row>
    <row r="365" spans="1:6" x14ac:dyDescent="0.2">
      <c r="A365" s="6" t="s">
        <v>22</v>
      </c>
      <c r="B365" s="6">
        <v>2045</v>
      </c>
      <c r="C365" s="6">
        <v>2049</v>
      </c>
      <c r="D365" s="6">
        <v>9.6699237999999994</v>
      </c>
      <c r="E365" s="6">
        <v>8.1120030399999994</v>
      </c>
      <c r="F365" s="6">
        <v>13.3146437</v>
      </c>
    </row>
    <row r="366" spans="1:6" x14ac:dyDescent="0.2">
      <c r="A366" s="6" t="s">
        <v>22</v>
      </c>
      <c r="B366" s="6">
        <v>2050</v>
      </c>
      <c r="C366" s="6">
        <v>2054</v>
      </c>
      <c r="D366" s="6">
        <v>9.8953671700000001</v>
      </c>
      <c r="E366" s="6">
        <v>8.2939265100000004</v>
      </c>
      <c r="F366" s="6">
        <v>13.6379263</v>
      </c>
    </row>
    <row r="367" spans="1:6" x14ac:dyDescent="0.2">
      <c r="A367" s="6" t="s">
        <v>22</v>
      </c>
      <c r="B367" s="6">
        <v>2055</v>
      </c>
      <c r="C367" s="6">
        <v>2059</v>
      </c>
      <c r="D367" s="6">
        <v>10.107650599999999</v>
      </c>
      <c r="E367" s="6">
        <v>8.4952026600000003</v>
      </c>
      <c r="F367" s="6">
        <v>13.836742599999999</v>
      </c>
    </row>
    <row r="368" spans="1:6" x14ac:dyDescent="0.2">
      <c r="A368" s="6" t="s">
        <v>22</v>
      </c>
      <c r="B368" s="6">
        <v>2060</v>
      </c>
      <c r="C368" s="6">
        <v>2064</v>
      </c>
      <c r="D368" s="6">
        <v>10.471048</v>
      </c>
      <c r="E368" s="6">
        <v>8.8520637600000001</v>
      </c>
      <c r="F368" s="6">
        <v>14.261305</v>
      </c>
    </row>
    <row r="369" spans="1:6" x14ac:dyDescent="0.2">
      <c r="A369" s="6" t="s">
        <v>22</v>
      </c>
      <c r="B369" s="6">
        <v>2065</v>
      </c>
      <c r="C369" s="6">
        <v>2069</v>
      </c>
      <c r="D369" s="6">
        <v>10.5099225</v>
      </c>
      <c r="E369" s="6">
        <v>8.8753269400000008</v>
      </c>
      <c r="F369" s="6">
        <v>14.3321238</v>
      </c>
    </row>
    <row r="370" spans="1:6" x14ac:dyDescent="0.2">
      <c r="A370" s="6" t="s">
        <v>22</v>
      </c>
      <c r="B370" s="6">
        <v>2070</v>
      </c>
      <c r="C370" s="6">
        <v>2074</v>
      </c>
      <c r="D370" s="6">
        <v>10.6386132</v>
      </c>
      <c r="E370" s="6">
        <v>8.9609829199999993</v>
      </c>
      <c r="F370" s="6">
        <v>14.531868599999999</v>
      </c>
    </row>
    <row r="371" spans="1:6" x14ac:dyDescent="0.2">
      <c r="A371" s="6" t="s">
        <v>22</v>
      </c>
      <c r="B371" s="6">
        <v>2075</v>
      </c>
      <c r="C371" s="6">
        <v>2079</v>
      </c>
      <c r="D371" s="6">
        <v>11.050154600000001</v>
      </c>
      <c r="E371" s="6">
        <v>9.2955168399999994</v>
      </c>
      <c r="F371" s="6">
        <v>15.156072200000001</v>
      </c>
    </row>
    <row r="372" spans="1:6" x14ac:dyDescent="0.2">
      <c r="A372" s="6" t="s">
        <v>22</v>
      </c>
      <c r="B372" s="6">
        <v>2080</v>
      </c>
      <c r="C372" s="6">
        <v>2084</v>
      </c>
      <c r="D372" s="6">
        <v>11.202886400000001</v>
      </c>
      <c r="E372" s="6">
        <v>9.4442677899999996</v>
      </c>
      <c r="F372" s="6">
        <v>15.287276200000001</v>
      </c>
    </row>
    <row r="373" spans="1:6" x14ac:dyDescent="0.2">
      <c r="A373" s="6" t="s">
        <v>22</v>
      </c>
      <c r="B373" s="6">
        <v>2085</v>
      </c>
      <c r="C373" s="6">
        <v>2089</v>
      </c>
      <c r="D373" s="6">
        <v>11.366273700000001</v>
      </c>
      <c r="E373" s="6">
        <v>9.5562032299999995</v>
      </c>
      <c r="F373" s="6">
        <v>15.5357117</v>
      </c>
    </row>
    <row r="374" spans="1:6" x14ac:dyDescent="0.2">
      <c r="A374" s="6" t="s">
        <v>22</v>
      </c>
      <c r="B374" s="6">
        <v>2090</v>
      </c>
      <c r="C374" s="6">
        <v>2094</v>
      </c>
      <c r="D374" s="6">
        <v>11.725132</v>
      </c>
      <c r="E374" s="6">
        <v>9.9075839999999999</v>
      </c>
      <c r="F374" s="6">
        <v>15.971086400000001</v>
      </c>
    </row>
    <row r="375" spans="1:6" x14ac:dyDescent="0.2">
      <c r="A375" s="6" t="s">
        <v>22</v>
      </c>
      <c r="B375" s="6">
        <v>2095</v>
      </c>
      <c r="C375" s="6">
        <v>2099</v>
      </c>
      <c r="D375" s="6">
        <v>11.955501999999999</v>
      </c>
      <c r="E375" s="6">
        <v>10.119249099999999</v>
      </c>
      <c r="F375" s="6">
        <v>16.225992300000001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arith</vt:lpstr>
      <vt:lpstr>vpd</vt:lpstr>
      <vt:lpstr>ssp370</vt:lpstr>
      <vt:lpstr>ssp585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xlliu924@gmail.com</dc:creator>
  <cp:lastModifiedBy>xlliu924@gmail.com</cp:lastModifiedBy>
  <dcterms:created xsi:type="dcterms:W3CDTF">2025-12-11T21:54:56Z</dcterms:created>
  <dcterms:modified xsi:type="dcterms:W3CDTF">2025-12-16T21:04:27Z</dcterms:modified>
</cp:coreProperties>
</file>